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829b2bfa2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e8727851de45c4"/>
    <x:sheet xmlns:r="http://schemas.openxmlformats.org/officeDocument/2006/relationships" name="01_Rådata_bred" sheetId="2" r:id="R9eaab52be09e48f1"/>
    <x:sheet xmlns:r="http://schemas.openxmlformats.org/officeDocument/2006/relationships" name="02_Rådata_lang" sheetId="3" r:id="R174994448fc74146"/>
    <x:sheet xmlns:r="http://schemas.openxmlformats.org/officeDocument/2006/relationships" name="03_Totaludvikling" sheetId="4" r:id="R0f46305a46fd45ca"/>
    <x:sheet xmlns:r="http://schemas.openxmlformats.org/officeDocument/2006/relationships" name="04_År_for_år" sheetId="5" r:id="R389e6442fb664de9"/>
    <x:sheet xmlns:r="http://schemas.openxmlformats.org/officeDocument/2006/relationships" name="05_Kategoriændringer" sheetId="6" r:id="R32c9072b62d6486b"/>
    <x:sheet xmlns:r="http://schemas.openxmlformats.org/officeDocument/2006/relationships" name="06_Hovedgrupper" sheetId="7" r:id="R5fc209299ff14c46"/>
    <x:sheet xmlns:r="http://schemas.openxmlformats.org/officeDocument/2006/relationships" name="07_Heatmap_data" sheetId="8" r:id="Raf500d8c413045a5"/>
    <x:sheet xmlns:r="http://schemas.openxmlformats.org/officeDocument/2006/relationships" name="08_Datatjek" sheetId="9" r:id="R087dcea405af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"/>
    <x:numFmt numFmtId="201" formatCode="#,##0"/>
    <x:numFmt numFmtId="202" formatCode="dd.mm.yyyy"/>
    <x:numFmt numFmtId="203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3" fillId="5" borderId="0" xfId="0" applyNumberFormat="1" applyFont="1" applyFill="1" applyBorder="1"/>
    <x:xf numFmtId="201" fontId="3" fillId="5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3" fillId="5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015fe237d46f5" /><Relationship Type="http://schemas.openxmlformats.org/officeDocument/2006/relationships/theme" Target="/xl/theme/theme1.xml" Id="R6fc3559be8e44611" /><Relationship Type="http://schemas.microsoft.com/office/2022/11/relationships/FeaturePropertyBag" Target="/xl/featurePropertyBag/featurePropertyBag.xml" Id="R0041bcd315044bf3" /><Relationship Type="http://schemas.openxmlformats.org/officeDocument/2006/relationships/sharedStrings" Target="/xl/sharedStrings.xml" Id="R377f63e2b41040e8" /><Relationship Type="http://schemas.openxmlformats.org/officeDocument/2006/relationships/worksheet" Target="/xl/worksheets/sheet1.xml" Id="R97e8727851de45c4" /><Relationship Type="http://schemas.openxmlformats.org/officeDocument/2006/relationships/worksheet" Target="/xl/worksheets/sheet2.xml" Id="R9eaab52be09e48f1" /><Relationship Type="http://schemas.openxmlformats.org/officeDocument/2006/relationships/worksheet" Target="/xl/worksheets/sheet3.xml" Id="R174994448fc74146" /><Relationship Type="http://schemas.openxmlformats.org/officeDocument/2006/relationships/worksheet" Target="/xl/worksheets/sheet4.xml" Id="R0f46305a46fd45ca" /><Relationship Type="http://schemas.openxmlformats.org/officeDocument/2006/relationships/worksheet" Target="/xl/worksheets/sheet5.xml" Id="R389e6442fb664de9" /><Relationship Type="http://schemas.openxmlformats.org/officeDocument/2006/relationships/worksheet" Target="/xl/worksheets/sheet6.xml" Id="R32c9072b62d6486b" /><Relationship Type="http://schemas.openxmlformats.org/officeDocument/2006/relationships/worksheet" Target="/xl/worksheets/sheet7.xml" Id="R5fc209299ff14c46" /><Relationship Type="http://schemas.openxmlformats.org/officeDocument/2006/relationships/worksheet" Target="/xl/worksheets/sheet8.xml" Id="Raf500d8c413045a5" /><Relationship Type="http://schemas.openxmlformats.org/officeDocument/2006/relationships/worksheet" Target="/xl/worksheets/sheet9.xml" Id="R087dcea405af4a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72c57dee404b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3b9f335383e430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eaa2c43765445f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541d4d8a6f2425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Alle medlemmer</c:v>
          </c:tx>
          <c:cat>
            <c:strRef>
              <c:f>'03_Totaludvikling'!$A$4:$A$26</c:f>
              <c:strCache>
                <c:ptCount val="0"/>
              </c:strCache>
            </c:strRef>
          </c:cat>
          <c:val>
            <c:numRef>
              <c:f>'03_Totaludvikling'!$D$4:$D$26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2022</c:v>
          </c:tx>
          <c:cat>
            <c:strRef>
              <c:f>'04_År_for_år'!$A$4:$A$8</c:f>
              <c:strCache>
                <c:ptCount val="0"/>
              </c:strCache>
            </c:strRef>
          </c:cat>
          <c:val>
            <c:numRef>
              <c:f>'04_År_for_år'!$B$4:$B$8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2023</c:v>
          </c:tx>
          <c:cat>
            <c:strRef>
              <c:f>'04_År_for_år'!$A$4:$A$8</c:f>
              <c:strCache>
                <c:ptCount val="0"/>
              </c:strCache>
            </c:strRef>
          </c:cat>
          <c:val>
            <c:numRef>
              <c:f>'04_År_for_år'!$C$4:$C$8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2024</c:v>
          </c:tx>
          <c:cat>
            <c:strRef>
              <c:f>'04_År_for_år'!$A$4:$A$8</c:f>
              <c:strCache>
                <c:ptCount val="0"/>
              </c:strCache>
            </c:strRef>
          </c:cat>
          <c:val>
            <c:numRef>
              <c:f>'04_År_for_år'!$D$4:$D$8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2025</c:v>
          </c:tx>
          <c:cat>
            <c:strRef>
              <c:f>'04_År_for_år'!$A$4:$A$8</c:f>
              <c:strCache>
                <c:ptCount val="0"/>
              </c:strCache>
            </c:strRef>
          </c:cat>
          <c:val>
            <c:numRef>
              <c:f>'04_År_for_år'!$E$4:$E$8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2026</c:v>
          </c:tx>
          <c:cat>
            <c:strRef>
              <c:f>'04_År_for_år'!$A$4:$A$8</c:f>
              <c:strCache>
                <c:ptCount val="0"/>
              </c:strCache>
            </c:strRef>
          </c:cat>
          <c:val>
            <c:numRef>
              <c:f>'04_År_for_år'!$F$4:$F$8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Ændring</c:v>
          </c:tx>
          <c:cat>
            <c:strRef>
              <c:f>'05_Kategoriændringer'!$J$29:$J$40</c:f>
              <c:strCache>
                <c:ptCount val="0"/>
              </c:strCache>
            </c:strRef>
          </c:cat>
          <c:val>
            <c:numRef>
              <c:f>'05_Kategoriændringer'!$K$29:$K$40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areaChart>
        <c:ser>
          <c:idx val="0"/>
          <c:order val="0"/>
          <c:tx>
            <c:v>Ansatte</c:v>
          </c:tx>
          <c:cat>
            <c:strRef>
              <c:f>'06_Hovedgrupper'!$F$3:$J$3</c:f>
              <c:strCache>
                <c:ptCount val="0"/>
              </c:strCache>
            </c:strRef>
          </c:cat>
          <c:val>
            <c:numRef>
              <c:f>'06_Hovedgrupper'!$F$4:$J$4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Selvstændige</c:v>
          </c:tx>
          <c:cat>
            <c:strRef>
              <c:f>'06_Hovedgrupper'!$F$3:$J$3</c:f>
              <c:strCache>
                <c:ptCount val="0"/>
              </c:strCache>
            </c:strRef>
          </c:cat>
          <c:val>
            <c:numRef>
              <c:f>'06_Hovedgrupper'!$F$5:$J$5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Unge/overgang</c:v>
          </c:tx>
          <c:cat>
            <c:strRef>
              <c:f>'06_Hovedgrupper'!$F$3:$J$3</c:f>
              <c:strCache>
                <c:ptCount val="0"/>
              </c:strCache>
            </c:strRef>
          </c:cat>
          <c:val>
            <c:numRef>
              <c:f>'06_Hovedgrupper'!$F$6:$J$6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Ledige/orlov</c:v>
          </c:tx>
          <c:cat>
            <c:strRef>
              <c:f>'06_Hovedgrupper'!$F$3:$J$3</c:f>
              <c:strCache>
                <c:ptCount val="0"/>
              </c:strCache>
            </c:strRef>
          </c:cat>
          <c:val>
            <c:numRef>
              <c:f>'06_Hovedgrupper'!$F$7:$J$7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Pensionister/efterløn</c:v>
          </c:tx>
          <c:cat>
            <c:strRef>
              <c:f>'06_Hovedgrupper'!$F$3:$J$3</c:f>
              <c:strCache>
                <c:ptCount val="0"/>
              </c:strCache>
            </c:strRef>
          </c:cat>
          <c:val>
            <c:numRef>
              <c:f>'06_Hovedgrupper'!$F$8:$J$8</c:f>
              <c:numCache>
                <c:formatCode>#,##0</c:formatCode>
                <c:ptCount val="0"/>
              </c:numCache>
            </c:numRef>
          </c:val>
        </c:ser>
        <c:ser>
          <c:idx val="5"/>
          <c:order val="5"/>
          <c:tx>
            <c:v>Øvrige</c:v>
          </c:tx>
          <c:cat>
            <c:strRef>
              <c:f>'06_Hovedgrupper'!$F$3:$J$3</c:f>
              <c:strCache>
                <c:ptCount val="0"/>
              </c:strCache>
            </c:strRef>
          </c:cat>
          <c:val>
            <c:numRef>
              <c:f>'06_Hovedgrupper'!$F$9:$J$9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7239000" cy="3619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72c57dee404b4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8</xdr:col>
      <xdr:colOff>0</xdr:colOff>
      <xdr:row>2</xdr:row>
      <xdr:rowOff>0</xdr:rowOff>
    </xdr:from>
    <xdr:ext cx="7239000" cy="3619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b9f335383e4300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9</xdr:col>
      <xdr:colOff>0</xdr:colOff>
      <xdr:row>2</xdr:row>
      <xdr:rowOff>0</xdr:rowOff>
    </xdr:from>
    <xdr:ext cx="7239000" cy="4381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aa2c43765445fa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0</xdr:colOff>
      <xdr:row>11</xdr:row>
      <xdr:rowOff>0</xdr:rowOff>
    </xdr:from>
    <xdr:ext cx="7429500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41d4d8a6f2425a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WideTable" displayName="RawWideTable" ref="A1:X23" headerRowCount="1">
  <x:tableColumns count="24">
    <x:tableColumn id="1" name="Medlemstype"/>
    <x:tableColumn id="2" name="Mon Jan 31 2022 00:00:00 GMT+0000 (Coordinated Universal Time)"/>
    <x:tableColumn id="3" name="Thu Mar 31 2022 00:00:00 GMT+0000 (Coordinated Universal Time)"/>
    <x:tableColumn id="4" name="Thu Jun 30 2022 00:00:00 GMT+0000 (Coordinated Universal Time)"/>
    <x:tableColumn id="5" name="Fri Sep 30 2022 00:00:00 GMT+0000 (Coordinated Universal Time)"/>
    <x:tableColumn id="6" name="Sat Dec 31 2022 00:00:00 GMT+0000 (Coordinated Universal Time)"/>
    <x:tableColumn id="7" name="Tue Jan 31 2023 00:00:00 GMT+0000 (Coordinated Universal Time)"/>
    <x:tableColumn id="8" name="Fri Mar 31 2023 00:00:00 GMT+0000 (Coordinated Universal Time)"/>
    <x:tableColumn id="9" name="Fri Jun 30 2023 00:00:00 GMT+0000 (Coordinated Universal Time)"/>
    <x:tableColumn id="10" name="Sat Sep 30 2023 00:00:00 GMT+0000 (Coordinated Universal Time)"/>
    <x:tableColumn id="11" name="Sun Dec 31 2023 00:00:00 GMT+0000 (Coordinated Universal Time)"/>
    <x:tableColumn id="12" name="Wed Jan 31 2024 00:00:00 GMT+0000 (Coordinated Universal Time)"/>
    <x:tableColumn id="13" name="Sun Mar 31 2024 00:00:00 GMT+0000 (Coordinated Universal Time)"/>
    <x:tableColumn id="14" name="Sun Jun 30 2024 00:00:00 GMT+0000 (Coordinated Universal Time)"/>
    <x:tableColumn id="15" name="Mon Sep 30 2024 00:00:00 GMT+0000 (Coordinated Universal Time)"/>
    <x:tableColumn id="16" name="Tue Dec 31 2024 00:00:00 GMT+0000 (Coordinated Universal Time)"/>
    <x:tableColumn id="17" name="Fri Jan 31 2025 00:00:00 GMT+0000 (Coordinated Universal Time)"/>
    <x:tableColumn id="18" name="Mon Mar 31 2025 00:00:00 GMT+0000 (Coordinated Universal Time)"/>
    <x:tableColumn id="19" name="Mon Jun 30 2025 00:00:00 GMT+0000 (Coordinated Universal Time)"/>
    <x:tableColumn id="20" name="Tue Sep 30 2025 00:00:00 GMT+0000 (Coordinated Universal Time)"/>
    <x:tableColumn id="21" name="Wed Dec 31 2025 00:00:00 GMT+0000 (Coordinated Universal Time)"/>
    <x:tableColumn id="22" name="Sat Jan 31 2026 00:00:00 GMT+0000 (Coordinated Universal Time)"/>
    <x:tableColumn id="23" name="Tue Mar 31 2026 00:00:00 GMT+0000 (Coordinated Universal Time)"/>
    <x:tableColumn id="24" name="Sun May 31 2026 00:00:00 GMT+0000 (Coordinated Universal Time)"/>
  </x:tableColumns>
  <x:tableStyleInfo name="TableStyleMedium2" showRowStripes="1"/>
</x:table>
</file>

<file path=xl/tables/table2.xml><?xml version="1.0" encoding="utf-8"?>
<x:table xmlns:x="http://schemas.openxmlformats.org/spreadsheetml/2006/main" id="2" name="RawLongTable" displayName="RawLongTable" ref="A1:F507" headerRowCount="1">
  <x:tableColumns count="6">
    <x:tableColumn id="1" name="Dato"/>
    <x:tableColumn id="2" name="År"/>
    <x:tableColumn id="3" name="Nedslagspunkt"/>
    <x:tableColumn id="4" name="Medlemstype"/>
    <x:tableColumn id="5" name="Antal"/>
    <x:tableColumn id="6" name="Er total"/>
  </x:tableColumns>
  <x:tableStyleInfo name="TableStyleMedium2" showRowStripes="1"/>
</x:table>
</file>

<file path=xl/tables/table3.xml><?xml version="1.0" encoding="utf-8"?>
<x:table xmlns:x="http://schemas.openxmlformats.org/spreadsheetml/2006/main" id="3" name="TotalDevelopmentTable" displayName="TotalDevelopmentTable" ref="A3:F26" headerRowCount="1">
  <x:tableColumns count="6">
    <x:tableColumn id="1" name="Dato"/>
    <x:tableColumn id="2" name="År"/>
    <x:tableColumn id="3" name="Nedslagspunkt"/>
    <x:tableColumn id="4" name="Antal medlemmer"/>
    <x:tableColumn id="5" name="Ændring siden forrige"/>
    <x:tableColumn id="6" name="Ændring siden 31.01.22"/>
  </x:tableColumns>
  <x:tableStyleInfo name="TableStyleMedium2" showRowStripes="1"/>
</x:table>
</file>

<file path=xl/tables/table4.xml><?xml version="1.0" encoding="utf-8"?>
<x:table xmlns:x="http://schemas.openxmlformats.org/spreadsheetml/2006/main" id="4" name="YearForYearTable" displayName="YearForYearTable" ref="A3:G8" headerRowCount="1">
  <x:tableColumns count="7">
    <x:tableColumn id="1" name="Nedslagspunkt"/>
    <x:tableColumn id="2" name="2022"/>
    <x:tableColumn id="3" name="2023"/>
    <x:tableColumn id="4" name="2024"/>
    <x:tableColumn id="5" name="2025"/>
    <x:tableColumn id="6" name="2026"/>
    <x:tableColumn id="7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CategoryChangesTable" displayName="CategoryChangesTable" ref="A3:H24" headerRowCount="1">
  <x:tableColumns count="8">
    <x:tableColumn id="1" name="Medlemstype"/>
    <x:tableColumn id="2" name="31.12.24"/>
    <x:tableColumn id="3" name="31.12.25"/>
    <x:tableColumn id="4" name="31.05.26"/>
    <x:tableColumn id="5" name="Ændring 31.12.24-31.05.26"/>
    <x:tableColumn id="6" name="Ændring 31.12.25-31.05.26"/>
    <x:tableColumn id="7" name="Andel af samlet ændring"/>
    <x:tableColumn id="8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GroupMappingTable" displayName="GroupMappingTable" ref="A3:B24" headerRowCount="1">
  <x:tableColumns count="2">
    <x:tableColumn id="1" name="Hovedgruppe"/>
    <x:tableColumn id="2" name="Medlemstype"/>
  </x:tableColumns>
  <x:tableStyleInfo name="TableStyleMedium2" showRowStripes="1"/>
</x:table>
</file>

<file path=xl/tables/table7.xml><?xml version="1.0" encoding="utf-8"?>
<x:table xmlns:x="http://schemas.openxmlformats.org/spreadsheetml/2006/main" id="7" name="GroupSummaryTable" displayName="GroupSummaryTable" ref="E3:L9" headerRowCount="1">
  <x:tableColumns count="8">
    <x:tableColumn id="1" name="Hovedgruppe"/>
    <x:tableColumn id="2" name="31.12.22"/>
    <x:tableColumn id="3" name="31.12.23"/>
    <x:tableColumn id="4" name="31.12.24"/>
    <x:tableColumn id="5" name="31.12.25"/>
    <x:tableColumn id="6" name="31.05.26"/>
    <x:tableColumn id="7" name="Ændring 31.12.24-31.05.26"/>
    <x:tableColumn id="8" name="Andel 31.05.26"/>
  </x:tableColumns>
  <x:tableStyleInfo name="TableStyleMedium2" showRowStripes="1"/>
</x:table>
</file>

<file path=xl/tables/table8.xml><?xml version="1.0" encoding="utf-8"?>
<x:table xmlns:x="http://schemas.openxmlformats.org/spreadsheetml/2006/main" id="8" name="HeatmapDataTable" displayName="HeatmapDataTable" ref="A3:E24" headerRowCount="1">
  <x:tableColumns count="5">
    <x:tableColumn id="1" name="Medlemstype"/>
    <x:tableColumn id="2" name="31.12.24"/>
    <x:tableColumn id="3" name="31.12.25"/>
    <x:tableColumn id="4" name="31.05.26"/>
    <x:tableColumn id="5" name="Ændring 31.12.24-31.05.26"/>
  </x:tableColumns>
  <x:tableStyleInfo name="TableStyleMedium2" showRowStripes="1"/>
</x:table>
</file>

<file path=xl/tables/table9.xml><?xml version="1.0" encoding="utf-8"?>
<x:table xmlns:x="http://schemas.openxmlformats.org/spreadsheetml/2006/main" id="9" name="DataCheckTable" displayName="DataCheckTable" ref="A3:E26" headerRowCount="1">
  <x:tableColumns count="5">
    <x:tableColumn id="1" name="Dato"/>
    <x:tableColumn id="2" name="Sum af kategorier"/>
    <x:tableColumn id="3" name="Total ifølge totalrækken"/>
    <x:tableColumn id="4" name="Differenc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5e8b91e13e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3bbdb17f94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4ab1e54bf4446c2" /><Relationship Type="http://schemas.openxmlformats.org/officeDocument/2006/relationships/table" Target="/xl/tables/table3.xml" Id="R5c0b5cdd69224d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8b3caaa357234a42" /><Relationship Type="http://schemas.openxmlformats.org/officeDocument/2006/relationships/table" Target="/xl/tables/table4.xml" Id="R1b1b8cf703dd45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32393a313e1f4e32" /><Relationship Type="http://schemas.openxmlformats.org/officeDocument/2006/relationships/table" Target="/xl/tables/table5.xml" Id="Rd5de0579e31447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ceabec8276ee4cdf" /><Relationship Type="http://schemas.openxmlformats.org/officeDocument/2006/relationships/table" Target="/xl/tables/table6.xml" Id="R7376b5a22ff3453f" /><Relationship Type="http://schemas.openxmlformats.org/officeDocument/2006/relationships/table" Target="/xl/tables/table7.xml" Id="Rfbf9eee8651346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61c5b01781e40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f0790d7b5f449d6" /></Relationships>
</file>

<file path=xl/worksheets/sheet1.xml><?xml version="1.0" encoding="utf-8"?>
<x:worksheet xmlns:x="http://schemas.openxmlformats.org/spreadsheetml/2006/main">
  <x:sheetFormatPr defaultRowHeight="15"/>
  <x:cols>
    <x:col min="1" max="1" width="54.630001068115234" hidden="0" customWidth="1"/>
    <x:col min="2" max="2" width="90" hidden="0" customWidth="1"/>
  </x:cols>
  <x:sheetData>
    <x:row r="1">
      <x:c r="A1" s="5" t="str">
        <x:v>Medlemsudvikling 2022-2026 - datagrundlag og tabeller</x:v>
      </x:c>
    </x:row>
    <x:row r="3">
      <x:c r="A3" s="14" t="str">
        <x:v>Indhold</x:v>
      </x:c>
      <x:c r="B3" s="14" t="str">
        <x:v>Beskrivelse</x:v>
      </x:c>
    </x:row>
    <x:row r="4">
      <x:c r="A4" t="str">
        <x:v>01_Rådata_bred</x:v>
      </x:c>
      <x:c r="B4" t="str">
        <x:v>Originalt datagrundlag i bredt format: medlemstype som rækker og nedslagspunkter som kolonner.</x:v>
      </x:c>
    </x:row>
    <x:row r="5">
      <x:c r="A5" t="str">
        <x:v>02_Rådata_lang</x:v>
      </x:c>
      <x:c r="B5" t="str">
        <x:v>Samme datagrundlag i langt format: én række pr. medlemstype pr. nedslagspunkt. Godt til pivottabeller/Power BI.</x:v>
      </x:c>
    </x:row>
    <x:row r="6">
      <x:c r="A6" t="str">
        <x:v>03_Totaludvikling</x:v>
      </x:c>
      <x:c r="B6" t="str">
        <x:v>Tabel og graf for samlet medlemsudvikling på tværs af hele perioden.</x:v>
      </x:c>
    </x:row>
    <x:row r="7">
      <x:c r="A7" t="str">
        <x:v>04_År_for_år</x:v>
      </x:c>
      <x:c r="B7" t="str">
        <x:v>Tabel og graf, hvor de faste nedslagspunkter sammenlignes på tværs af år.</x:v>
      </x:c>
    </x:row>
    <x:row r="8">
      <x:c r="A8" t="str">
        <x:v>05_Kategoriændringer</x:v>
      </x:c>
      <x:c r="B8" t="str">
        <x:v>Talmateriale bag grafen med største positive og negative kategoriændringer.</x:v>
      </x:c>
    </x:row>
    <x:row r="9">
      <x:c r="A9" t="str">
        <x:v>06_Hovedgrupper</x:v>
      </x:c>
      <x:c r="B9" t="str">
        <x:v>Gruppering af kontingentkategorier og talmateriale bag sammensætningsgrafen.</x:v>
      </x:c>
    </x:row>
    <x:row r="10">
      <x:c r="A10" t="str">
        <x:v>07_Heatmap_data</x:v>
      </x:c>
      <x:c r="B10" t="str">
        <x:v>Tabel til heatmap over ændringer siden 31.12.24.</x:v>
      </x:c>
    </x:row>
    <x:row r="11">
      <x:c r="A11" t="str">
        <x:v>08_Datatjek</x:v>
      </x:c>
      <x:c r="B11" t="str">
        <x:v>Kontrolark: summerer kontingentkategorier og sammenligner med totalrækken.</x:v>
      </x:c>
    </x:row>
    <x:row r="12">
      <x:c r="A12" s="21" t="str">
        <x:v>Note</x:v>
      </x:c>
      <x:c r="B12" s="21" t="str">
        <x:v>2026 er foreløbig, da seneste nedslag er 31.05.26 og ikke 30.06.26.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 ht="24" customHeight="1">
      <x:c r="A1" s="14" t="str">
        <x:v>Medlemstype</x:v>
      </x:c>
      <x:c r="B1" s="24" t="n">
        <x:v>44592</x:v>
      </x:c>
      <x:c r="C1" s="24" t="n">
        <x:v>44651</x:v>
      </x:c>
      <x:c r="D1" s="24" t="n">
        <x:v>44742</x:v>
      </x:c>
      <x:c r="E1" s="24" t="n">
        <x:v>44834</x:v>
      </x:c>
      <x:c r="F1" s="24" t="n">
        <x:v>44926</x:v>
      </x:c>
      <x:c r="G1" s="24" t="n">
        <x:v>44957</x:v>
      </x:c>
      <x:c r="H1" s="24" t="n">
        <x:v>45016</x:v>
      </x:c>
      <x:c r="I1" s="24" t="n">
        <x:v>45107</x:v>
      </x:c>
      <x:c r="J1" s="24" t="n">
        <x:v>45199</x:v>
      </x:c>
      <x:c r="K1" s="24" t="n">
        <x:v>45291</x:v>
      </x:c>
      <x:c r="L1" s="24" t="n">
        <x:v>45322</x:v>
      </x:c>
      <x:c r="M1" s="24" t="n">
        <x:v>45382</x:v>
      </x:c>
      <x:c r="N1" s="24" t="n">
        <x:v>45473</x:v>
      </x:c>
      <x:c r="O1" s="24" t="n">
        <x:v>45565</x:v>
      </x:c>
      <x:c r="P1" s="24" t="n">
        <x:v>45657</x:v>
      </x:c>
      <x:c r="Q1" s="24" t="n">
        <x:v>45688</x:v>
      </x:c>
      <x:c r="R1" s="24" t="n">
        <x:v>45747</x:v>
      </x:c>
      <x:c r="S1" s="24" t="n">
        <x:v>45838</x:v>
      </x:c>
      <x:c r="T1" s="24" t="n">
        <x:v>45930</x:v>
      </x:c>
      <x:c r="U1" s="24" t="n">
        <x:v>46022</x:v>
      </x:c>
      <x:c r="V1" s="24" t="n">
        <x:v>46053</x:v>
      </x:c>
      <x:c r="W1" s="24" t="n">
        <x:v>46112</x:v>
      </x:c>
      <x:c r="X1" s="24" t="n">
        <x:v>46173</x:v>
      </x:c>
    </x:row>
    <x:row r="2">
      <x:c r="A2" t="str">
        <x:v>Normaltansat over 19 timer</x:v>
      </x:c>
      <x:c r="B2" s="26" t="n">
        <x:v>5306</x:v>
      </x:c>
      <x:c r="C2" s="26" t="n">
        <x:v>5279</x:v>
      </x:c>
      <x:c r="D2" s="26" t="n">
        <x:v>5224</x:v>
      </x:c>
      <x:c r="E2" s="26" t="n">
        <x:v>5305</x:v>
      </x:c>
      <x:c r="F2" s="26" t="n">
        <x:v>5238</x:v>
      </x:c>
      <x:c r="G2" s="26" t="n">
        <x:v>5204</x:v>
      </x:c>
      <x:c r="H2" s="26" t="n">
        <x:v>5239</x:v>
      </x:c>
      <x:c r="I2" s="26" t="n">
        <x:v>5280</x:v>
      </x:c>
      <x:c r="J2" s="26" t="n">
        <x:v>5452</x:v>
      </x:c>
      <x:c r="K2" s="26" t="n">
        <x:v>5418</x:v>
      </x:c>
      <x:c r="L2" s="26" t="n">
        <x:v>5411</x:v>
      </x:c>
      <x:c r="M2" s="26" t="n">
        <x:v>5437</x:v>
      </x:c>
      <x:c r="N2" s="26" t="n">
        <x:v>5423</x:v>
      </x:c>
      <x:c r="O2" s="26" t="n">
        <x:v>5564</x:v>
      </x:c>
      <x:c r="P2" s="26" t="n">
        <x:v>5584</x:v>
      </x:c>
      <x:c r="Q2" s="26" t="n">
        <x:v>5577</x:v>
      </x:c>
      <x:c r="R2" s="26" t="n">
        <x:v>5646</x:v>
      </x:c>
      <x:c r="S2" s="26" t="n">
        <x:v>5650</x:v>
      </x:c>
      <x:c r="T2" s="26" t="n">
        <x:v>5820</x:v>
      </x:c>
      <x:c r="U2" s="26" t="n">
        <x:v>5826</x:v>
      </x:c>
      <x:c r="V2" s="26" t="n">
        <x:v>5847</x:v>
      </x:c>
      <x:c r="W2" s="26" t="n">
        <x:v>5899</x:v>
      </x:c>
      <x:c r="X2" s="26" t="n">
        <x:v>5896</x:v>
      </x:c>
    </x:row>
    <x:row r="3">
      <x:c r="A3" t="str">
        <x:v>Psykologistuderende</x:v>
      </x:c>
      <x:c r="B3" s="26" t="n">
        <x:v>373</x:v>
      </x:c>
      <x:c r="C3" s="26" t="n">
        <x:v>305</x:v>
      </x:c>
      <x:c r="D3" s="26" t="n">
        <x:v>286</x:v>
      </x:c>
      <x:c r="E3" s="26" t="n">
        <x:v>60</x:v>
      </x:c>
      <x:c r="F3" s="26" t="n">
        <x:v>13</x:v>
      </x:c>
      <x:c r="G3" s="26" t="n">
        <x:v>0</x:v>
      </x:c>
      <x:c r="H3" s="26" t="n">
        <x:v>0</x:v>
      </x:c>
      <x:c r="I3" s="26" t="n">
        <x:v>0</x:v>
      </x:c>
      <x:c r="J3" s="26" t="n">
        <x:v>0</x:v>
      </x:c>
      <x:c r="K3" s="26" t="n">
        <x:v>0</x:v>
      </x:c>
      <x:c r="L3" s="26" t="n">
        <x:v>0</x:v>
      </x:c>
      <x:c r="M3" s="26" t="n">
        <x:v>0</x:v>
      </x:c>
      <x:c r="N3" s="26" t="n">
        <x:v>0</x:v>
      </x:c>
      <x:c r="O3" s="26" t="n">
        <x:v>0</x:v>
      </x:c>
      <x:c r="P3" s="26" t="n">
        <x:v>1</x:v>
      </x:c>
      <x:c r="Q3" s="26" t="n">
        <x:v>1</x:v>
      </x:c>
      <x:c r="R3" s="26" t="n">
        <x:v>1</x:v>
      </x:c>
      <x:c r="S3" s="26" t="n">
        <x:v>1</x:v>
      </x:c>
      <x:c r="T3" s="26" t="n">
        <x:v>1</x:v>
      </x:c>
      <x:c r="U3" s="26" t="n">
        <x:v>1</x:v>
      </x:c>
      <x:c r="V3" s="26" t="n">
        <x:v>1</x:v>
      </x:c>
      <x:c r="W3" s="26" t="n">
        <x:v>0</x:v>
      </x:c>
      <x:c r="X3" s="26" t="n">
        <x:v>0</x:v>
      </x:c>
    </x:row>
    <x:row r="4">
      <x:c r="A4" t="str">
        <x:v>Pensionist DP - Udland</x:v>
      </x:c>
      <x:c r="B4" s="26" t="n">
        <x:v>1083</x:v>
      </x:c>
      <x:c r="C4" s="26" t="n">
        <x:v>1088</x:v>
      </x:c>
      <x:c r="D4" s="26" t="n">
        <x:v>1083</x:v>
      </x:c>
      <x:c r="E4" s="26" t="n">
        <x:v>1084</x:v>
      </x:c>
      <x:c r="F4" s="26" t="n">
        <x:v>9</x:v>
      </x:c>
      <x:c r="G4" s="26" t="n">
        <x:v>9</x:v>
      </x:c>
      <x:c r="H4" s="26" t="n">
        <x:v>9</x:v>
      </x:c>
      <x:c r="I4" s="26" t="n">
        <x:v>9</x:v>
      </x:c>
      <x:c r="J4" s="26" t="n">
        <x:v>10</x:v>
      </x:c>
      <x:c r="K4" s="26" t="n">
        <x:v>11</x:v>
      </x:c>
      <x:c r="L4" s="26" t="n">
        <x:v>11</x:v>
      </x:c>
      <x:c r="M4" s="26" t="n">
        <x:v>11</x:v>
      </x:c>
      <x:c r="N4" s="26" t="n">
        <x:v>13</x:v>
      </x:c>
      <x:c r="O4" s="26" t="n">
        <x:v>15</x:v>
      </x:c>
      <x:c r="P4" s="26" t="n">
        <x:v>15</x:v>
      </x:c>
      <x:c r="Q4" s="26" t="n">
        <x:v>16</x:v>
      </x:c>
      <x:c r="R4" s="26" t="n">
        <x:v>20</x:v>
      </x:c>
      <x:c r="S4" s="26" t="n">
        <x:v>21</x:v>
      </x:c>
      <x:c r="T4" s="26" t="n">
        <x:v>20</x:v>
      </x:c>
      <x:c r="U4" s="26" t="n">
        <x:v>19</x:v>
      </x:c>
      <x:c r="V4" s="26" t="n">
        <x:v>18</x:v>
      </x:c>
      <x:c r="W4" s="26" t="n">
        <x:v>18</x:v>
      </x:c>
      <x:c r="X4" s="26" t="n">
        <x:v>18</x:v>
      </x:c>
    </x:row>
    <x:row r="5">
      <x:c r="A5" t="str">
        <x:v>Ledig DP</x:v>
      </x:c>
      <x:c r="B5" s="26" t="n">
        <x:v>411</x:v>
      </x:c>
      <x:c r="C5" s="26" t="n">
        <x:v>409</x:v>
      </x:c>
      <x:c r="D5" s="26" t="n">
        <x:v>381</x:v>
      </x:c>
      <x:c r="E5" s="26" t="n">
        <x:v>507</x:v>
      </x:c>
      <x:c r="F5" s="26" t="n">
        <x:v>423</x:v>
      </x:c>
      <x:c r="G5" s="26" t="n">
        <x:v>403</x:v>
      </x:c>
      <x:c r="H5" s="26" t="n">
        <x:v>423</x:v>
      </x:c>
      <x:c r="I5" s="26" t="n">
        <x:v>390</x:v>
      </x:c>
      <x:c r="J5" s="26" t="n">
        <x:v>477</x:v>
      </x:c>
      <x:c r="K5" s="26" t="n">
        <x:v>412</x:v>
      </x:c>
      <x:c r="L5" s="26" t="n">
        <x:v>403</x:v>
      </x:c>
      <x:c r="M5" s="26" t="n">
        <x:v>429</x:v>
      </x:c>
      <x:c r="N5" s="26" t="n">
        <x:v>414</x:v>
      </x:c>
      <x:c r="O5" s="26" t="n">
        <x:v>462</x:v>
      </x:c>
      <x:c r="P5" s="26" t="n">
        <x:v>441</x:v>
      </x:c>
      <x:c r="Q5" s="26" t="n">
        <x:v>431</x:v>
      </x:c>
      <x:c r="R5" s="26" t="n">
        <x:v>447</x:v>
      </x:c>
      <x:c r="S5" s="26" t="n">
        <x:v>405</x:v>
      </x:c>
      <x:c r="T5" s="26" t="n">
        <x:v>405</x:v>
      </x:c>
      <x:c r="U5" s="26" t="n">
        <x:v>394</x:v>
      </x:c>
      <x:c r="V5" s="26" t="n">
        <x:v>379</x:v>
      </x:c>
      <x:c r="W5" s="26" t="n">
        <x:v>383</x:v>
      </x:c>
      <x:c r="X5" s="26" t="n">
        <x:v>367</x:v>
      </x:c>
    </x:row>
    <x:row r="6">
      <x:c r="A6" t="str">
        <x:v>1 og 2 års Kandidater</x:v>
      </x:c>
      <x:c r="B6" s="26" t="n">
        <x:v>461</x:v>
      </x:c>
      <x:c r="C6" s="26" t="n">
        <x:v>512</x:v>
      </x:c>
      <x:c r="D6" s="26" t="n">
        <x:v>527</x:v>
      </x:c>
      <x:c r="E6" s="26" t="n">
        <x:v>519</x:v>
      </x:c>
      <x:c r="F6" s="26" t="n">
        <x:v>545</x:v>
      </x:c>
      <x:c r="G6" s="26" t="n">
        <x:v>582</x:v>
      </x:c>
      <x:c r="H6" s="26" t="n">
        <x:v>570</x:v>
      </x:c>
      <x:c r="I6" s="26" t="n">
        <x:v>591</x:v>
      </x:c>
      <x:c r="J6" s="26" t="n">
        <x:v>484</x:v>
      </x:c>
      <x:c r="K6" s="26" t="n">
        <x:v>532</x:v>
      </x:c>
      <x:c r="L6" s="26" t="n">
        <x:v>546</x:v>
      </x:c>
      <x:c r="M6" s="26" t="n">
        <x:v>557</x:v>
      </x:c>
      <x:c r="N6" s="26" t="n">
        <x:v>596</x:v>
      </x:c>
      <x:c r="O6" s="26" t="n">
        <x:v>554</x:v>
      </x:c>
      <x:c r="P6" s="26" t="n">
        <x:v>628</x:v>
      </x:c>
      <x:c r="Q6" s="26" t="n">
        <x:v>666</x:v>
      </x:c>
      <x:c r="R6" s="26" t="n">
        <x:v>643</x:v>
      </x:c>
      <x:c r="S6" s="26" t="n">
        <x:v>711</x:v>
      </x:c>
      <x:c r="T6" s="26" t="n">
        <x:v>600</x:v>
      </x:c>
      <x:c r="U6" s="26" t="n">
        <x:v>884</x:v>
      </x:c>
      <x:c r="V6" s="26" t="n">
        <x:v>880</x:v>
      </x:c>
      <x:c r="W6" s="26" t="n">
        <x:v>795</x:v>
      </x:c>
      <x:c r="X6" s="26" t="n">
        <x:v>898</x:v>
      </x:c>
    </x:row>
    <x:row r="7">
      <x:c r="A7" t="str">
        <x:v>Selvstændig</x:v>
      </x:c>
      <x:c r="B7" s="26" t="n">
        <x:v>2210</x:v>
      </x:c>
      <x:c r="C7" s="26" t="n">
        <x:v>2238</x:v>
      </x:c>
      <x:c r="D7" s="26" t="n">
        <x:v>2257</x:v>
      </x:c>
      <x:c r="E7" s="26" t="n">
        <x:v>2292</x:v>
      </x:c>
      <x:c r="F7" s="26" t="n">
        <x:v>2312</x:v>
      </x:c>
      <x:c r="G7" s="26" t="n">
        <x:v>2310</x:v>
      </x:c>
      <x:c r="H7" s="26" t="n">
        <x:v>2309</x:v>
      </x:c>
      <x:c r="I7" s="26" t="n">
        <x:v>2322</x:v>
      </x:c>
      <x:c r="J7" s="26" t="n">
        <x:v>2368</x:v>
      </x:c>
      <x:c r="K7" s="26" t="n">
        <x:v>2364</x:v>
      </x:c>
      <x:c r="L7" s="26" t="n">
        <x:v>2376</x:v>
      </x:c>
      <x:c r="M7" s="26" t="n">
        <x:v>2379</x:v>
      </x:c>
      <x:c r="N7" s="26" t="n">
        <x:v>2387</x:v>
      </x:c>
      <x:c r="O7" s="26" t="n">
        <x:v>2381</x:v>
      </x:c>
      <x:c r="P7" s="26" t="n">
        <x:v>2398</x:v>
      </x:c>
      <x:c r="Q7" s="26" t="n">
        <x:v>2387</x:v>
      </x:c>
      <x:c r="R7" s="26" t="n">
        <x:v>2401</x:v>
      </x:c>
      <x:c r="S7" s="26" t="n">
        <x:v>2423</x:v>
      </x:c>
      <x:c r="T7" s="26" t="n">
        <x:v>2464</x:v>
      </x:c>
      <x:c r="U7" s="26" t="n">
        <x:v>2481</x:v>
      </x:c>
      <x:c r="V7" s="26" t="n">
        <x:v>2468</x:v>
      </x:c>
      <x:c r="W7" s="26" t="n">
        <x:v>2527</x:v>
      </x:c>
      <x:c r="X7" s="26" t="n">
        <x:v>2551</x:v>
      </x:c>
    </x:row>
    <x:row r="8">
      <x:c r="A8" t="str">
        <x:v>Studerende DP</x:v>
      </x:c>
      <x:c r="B8" s="26" t="n">
        <x:v>1213</x:v>
      </x:c>
      <x:c r="C8" s="26" t="n">
        <x:v>1230</x:v>
      </x:c>
      <x:c r="D8" s="26" t="n">
        <x:v>1256</x:v>
      </x:c>
      <x:c r="E8" s="26" t="n">
        <x:v>1319</x:v>
      </x:c>
      <x:c r="F8" s="26" t="n">
        <x:v>1438</x:v>
      </x:c>
      <x:c r="G8" s="26" t="n">
        <x:v>1431</x:v>
      </x:c>
      <x:c r="H8" s="26" t="n">
        <x:v>1402</x:v>
      </x:c>
      <x:c r="I8" s="26" t="n">
        <x:v>1416</x:v>
      </x:c>
      <x:c r="J8" s="26" t="n">
        <x:v>1567</x:v>
      </x:c>
      <x:c r="K8" s="26" t="n">
        <x:v>1624</x:v>
      </x:c>
      <x:c r="L8" s="26" t="n">
        <x:v>1624</x:v>
      </x:c>
      <x:c r="M8" s="26" t="n">
        <x:v>1567</x:v>
      </x:c>
      <x:c r="N8" s="26" t="n">
        <x:v>1588</x:v>
      </x:c>
      <x:c r="O8" s="26" t="n">
        <x:v>1903</x:v>
      </x:c>
      <x:c r="P8" s="26" t="n">
        <x:v>1938</x:v>
      </x:c>
      <x:c r="Q8" s="26" t="n">
        <x:v>1899</x:v>
      </x:c>
      <x:c r="R8" s="26" t="n">
        <x:v>1877</x:v>
      </x:c>
      <x:c r="S8" s="26" t="n">
        <x:v>1870</x:v>
      </x:c>
      <x:c r="T8" s="26" t="n">
        <x:v>2154</x:v>
      </x:c>
      <x:c r="U8" s="26" t="n">
        <x:v>1995</x:v>
      </x:c>
      <x:c r="V8" s="26" t="n">
        <x:v>1952</x:v>
      </x:c>
      <x:c r="W8" s="26" t="n">
        <x:v>1936</x:v>
      </x:c>
      <x:c r="X8" s="26" t="n">
        <x:v>1887</x:v>
      </x:c>
    </x:row>
    <x:row r="9">
      <x:c r="A9" t="str">
        <x:v>Ph.d. studerende</x:v>
      </x:c>
      <x:c r="B9" s="26" t="n">
        <x:v>60</x:v>
      </x:c>
      <x:c r="C9" s="26" t="n">
        <x:v>56</x:v>
      </x:c>
      <x:c r="D9" s="26" t="n">
        <x:v>55</x:v>
      </x:c>
      <x:c r="E9" s="26" t="n">
        <x:v>54</x:v>
      </x:c>
      <x:c r="F9" s="26" t="n">
        <x:v>53</x:v>
      </x:c>
      <x:c r="G9" s="26" t="n">
        <x:v>51</x:v>
      </x:c>
      <x:c r="H9" s="26" t="n">
        <x:v>51</x:v>
      </x:c>
      <x:c r="I9" s="26" t="n">
        <x:v>51</x:v>
      </x:c>
      <x:c r="J9" s="26" t="n">
        <x:v>50</x:v>
      </x:c>
      <x:c r="K9" s="26" t="n">
        <x:v>48</x:v>
      </x:c>
      <x:c r="L9" s="26" t="n">
        <x:v>46</x:v>
      </x:c>
      <x:c r="M9" s="26" t="n">
        <x:v>46</x:v>
      </x:c>
      <x:c r="N9" s="26" t="n">
        <x:v>46</x:v>
      </x:c>
      <x:c r="O9" s="26" t="n">
        <x:v>45</x:v>
      </x:c>
      <x:c r="P9" s="26" t="n">
        <x:v>48</x:v>
      </x:c>
      <x:c r="Q9" s="26" t="n">
        <x:v>45</x:v>
      </x:c>
      <x:c r="R9" s="26" t="n">
        <x:v>46</x:v>
      </x:c>
      <x:c r="S9" s="26" t="n">
        <x:v>47</x:v>
      </x:c>
      <x:c r="T9" s="26" t="n">
        <x:v>51</x:v>
      </x:c>
      <x:c r="U9" s="26" t="n">
        <x:v>50</x:v>
      </x:c>
      <x:c r="V9" s="26" t="n">
        <x:v>51</x:v>
      </x:c>
      <x:c r="W9" s="26" t="n">
        <x:v>47</x:v>
      </x:c>
      <x:c r="X9" s="26" t="n">
        <x:v>47</x:v>
      </x:c>
    </x:row>
    <x:row r="10">
      <x:c r="A10" t="str">
        <x:v>Orlov uden løn DP</x:v>
      </x:c>
      <x:c r="B10" s="26" t="n">
        <x:v>83</x:v>
      </x:c>
      <x:c r="C10" s="26" t="n">
        <x:v>93</x:v>
      </x:c>
      <x:c r="D10" s="26" t="n">
        <x:v>104</x:v>
      </x:c>
      <x:c r="E10" s="26" t="n">
        <x:v>97</x:v>
      </x:c>
      <x:c r="F10" s="26" t="n">
        <x:v>96</x:v>
      </x:c>
      <x:c r="G10" s="26" t="n">
        <x:v>121</x:v>
      </x:c>
      <x:c r="H10" s="26" t="n">
        <x:v>114</x:v>
      </x:c>
      <x:c r="I10" s="26" t="n">
        <x:v>88</x:v>
      </x:c>
      <x:c r="J10" s="26" t="n">
        <x:v>73</x:v>
      </x:c>
      <x:c r="K10" s="26" t="n">
        <x:v>83</x:v>
      </x:c>
      <x:c r="L10" s="26" t="n">
        <x:v>78</x:v>
      </x:c>
      <x:c r="M10" s="26" t="n">
        <x:v>74</x:v>
      </x:c>
      <x:c r="N10" s="26" t="n">
        <x:v>69</x:v>
      </x:c>
      <x:c r="O10" s="26" t="n">
        <x:v>52</x:v>
      </x:c>
      <x:c r="P10" s="26" t="n">
        <x:v>40</x:v>
      </x:c>
      <x:c r="Q10" s="26" t="n">
        <x:v>44</x:v>
      </x:c>
      <x:c r="R10" s="26" t="n">
        <x:v>48</x:v>
      </x:c>
      <x:c r="S10" s="26" t="n">
        <x:v>42</x:v>
      </x:c>
      <x:c r="T10" s="26" t="n">
        <x:v>39</x:v>
      </x:c>
      <x:c r="U10" s="26" t="n">
        <x:v>58</x:v>
      </x:c>
      <x:c r="V10" s="26" t="n">
        <x:v>65</x:v>
      </x:c>
      <x:c r="W10" s="26" t="n">
        <x:v>76</x:v>
      </x:c>
      <x:c r="X10" s="26" t="n">
        <x:v>66</x:v>
      </x:c>
    </x:row>
    <x:row r="11">
      <x:c r="A11" t="str">
        <x:v>Udland DP</x:v>
      </x:c>
      <x:c r="B11" s="26" t="n">
        <x:v>67</x:v>
      </x:c>
      <x:c r="C11" s="26" t="n">
        <x:v>68</x:v>
      </x:c>
      <x:c r="D11" s="26" t="n">
        <x:v>67</x:v>
      </x:c>
      <x:c r="E11" s="26" t="n">
        <x:v>66</x:v>
      </x:c>
      <x:c r="F11" s="26" t="n">
        <x:v>60</x:v>
      </x:c>
      <x:c r="G11" s="26" t="n">
        <x:v>60</x:v>
      </x:c>
      <x:c r="H11" s="26" t="n">
        <x:v>57</x:v>
      </x:c>
      <x:c r="I11" s="26" t="n">
        <x:v>55</x:v>
      </x:c>
      <x:c r="J11" s="26" t="n">
        <x:v>58</x:v>
      </x:c>
      <x:c r="K11" s="26" t="n">
        <x:v>55</x:v>
      </x:c>
      <x:c r="L11" s="26" t="n">
        <x:v>54</x:v>
      </x:c>
      <x:c r="M11" s="26" t="n">
        <x:v>56</x:v>
      </x:c>
      <x:c r="N11" s="26" t="n">
        <x:v>59</x:v>
      </x:c>
      <x:c r="O11" s="26" t="n">
        <x:v>58</x:v>
      </x:c>
      <x:c r="P11" s="26" t="n">
        <x:v>64</x:v>
      </x:c>
      <x:c r="Q11" s="26" t="n">
        <x:v>62</x:v>
      </x:c>
      <x:c r="R11" s="26" t="n">
        <x:v>62</x:v>
      </x:c>
      <x:c r="S11" s="26" t="n">
        <x:v>58</x:v>
      </x:c>
      <x:c r="T11" s="26" t="n">
        <x:v>55</x:v>
      </x:c>
      <x:c r="U11" s="26" t="n">
        <x:v>53</x:v>
      </x:c>
      <x:c r="V11" s="26" t="n">
        <x:v>51</x:v>
      </x:c>
      <x:c r="W11" s="26" t="n">
        <x:v>51</x:v>
      </x:c>
      <x:c r="X11" s="26" t="n">
        <x:v>49</x:v>
      </x:c>
    </x:row>
    <x:row r="12">
      <x:c r="A12" t="str">
        <x:v>Anden forhandlingsret</x:v>
      </x:c>
      <x:c r="B12" s="26" t="n">
        <x:v>30</x:v>
      </x:c>
      <x:c r="C12" s="26" t="n">
        <x:v>30</x:v>
      </x:c>
      <x:c r="D12" s="26" t="n">
        <x:v>29</x:v>
      </x:c>
      <x:c r="E12" s="26" t="n">
        <x:v>27</x:v>
      </x:c>
      <x:c r="F12" s="26" t="n">
        <x:v>29</x:v>
      </x:c>
      <x:c r="G12" s="26" t="n">
        <x:v>28</x:v>
      </x:c>
      <x:c r="H12" s="26" t="n">
        <x:v>28</x:v>
      </x:c>
      <x:c r="I12" s="26" t="n">
        <x:v>27</x:v>
      </x:c>
      <x:c r="J12" s="26" t="n">
        <x:v>27</x:v>
      </x:c>
      <x:c r="K12" s="26" t="n">
        <x:v>26</x:v>
      </x:c>
      <x:c r="L12" s="26" t="n">
        <x:v>24</x:v>
      </x:c>
      <x:c r="M12" s="26" t="n">
        <x:v>24</x:v>
      </x:c>
      <x:c r="N12" s="26" t="n">
        <x:v>23</x:v>
      </x:c>
      <x:c r="O12" s="26" t="n">
        <x:v>24</x:v>
      </x:c>
      <x:c r="P12" s="26" t="n">
        <x:v>23</x:v>
      </x:c>
      <x:c r="Q12" s="26" t="n">
        <x:v>23</x:v>
      </x:c>
      <x:c r="R12" s="26" t="n">
        <x:v>22</x:v>
      </x:c>
      <x:c r="S12" s="26" t="n">
        <x:v>25</x:v>
      </x:c>
      <x:c r="T12" s="26" t="n">
        <x:v>25</x:v>
      </x:c>
      <x:c r="U12" s="26" t="n">
        <x:v>28</x:v>
      </x:c>
      <x:c r="V12" s="26" t="n">
        <x:v>28</x:v>
      </x:c>
      <x:c r="W12" s="26" t="n">
        <x:v>27</x:v>
      </x:c>
      <x:c r="X12" s="26" t="n">
        <x:v>27</x:v>
      </x:c>
    </x:row>
    <x:row r="13">
      <x:c r="A13" t="str">
        <x:v>Efterløn DP</x:v>
      </x:c>
      <x:c r="B13" s="26" t="n">
        <x:v>24</x:v>
      </x:c>
      <x:c r="C13" s="26" t="n">
        <x:v>24</x:v>
      </x:c>
      <x:c r="D13" s="26" t="n">
        <x:v>25</x:v>
      </x:c>
      <x:c r="E13" s="26" t="n">
        <x:v>26</x:v>
      </x:c>
      <x:c r="F13" s="26" t="n">
        <x:v>25</x:v>
      </x:c>
      <x:c r="G13" s="26" t="n">
        <x:v>26</x:v>
      </x:c>
      <x:c r="H13" s="26" t="n">
        <x:v>23</x:v>
      </x:c>
      <x:c r="I13" s="26" t="n">
        <x:v>21</x:v>
      </x:c>
      <x:c r="J13" s="26" t="n">
        <x:v>20</x:v>
      </x:c>
      <x:c r="K13" s="26" t="n">
        <x:v>19</x:v>
      </x:c>
      <x:c r="L13" s="26" t="n">
        <x:v>18</x:v>
      </x:c>
      <x:c r="M13" s="26" t="n">
        <x:v>19</x:v>
      </x:c>
      <x:c r="N13" s="26" t="n">
        <x:v>17</x:v>
      </x:c>
      <x:c r="O13" s="26" t="n">
        <x:v>17</x:v>
      </x:c>
      <x:c r="P13" s="26" t="n">
        <x:v>17</x:v>
      </x:c>
      <x:c r="Q13" s="26" t="n">
        <x:v>17</x:v>
      </x:c>
      <x:c r="R13" s="26" t="n">
        <x:v>17</x:v>
      </x:c>
      <x:c r="S13" s="26" t="n">
        <x:v>16</x:v>
      </x:c>
      <x:c r="T13" s="26" t="n">
        <x:v>15</x:v>
      </x:c>
      <x:c r="U13" s="26" t="n">
        <x:v>15</x:v>
      </x:c>
      <x:c r="V13" s="26" t="n">
        <x:v>15</x:v>
      </x:c>
      <x:c r="W13" s="26" t="n">
        <x:v>15</x:v>
      </x:c>
      <x:c r="X13" s="26" t="n">
        <x:v>15</x:v>
      </x:c>
    </x:row>
    <x:row r="14">
      <x:c r="A14" t="str">
        <x:v>DLF og DLF ret</x:v>
      </x:c>
      <x:c r="B14" s="26" t="n">
        <x:v>154</x:v>
      </x:c>
      <x:c r="C14" s="26" t="n">
        <x:v>152</x:v>
      </x:c>
      <x:c r="D14" s="26" t="n">
        <x:v>150</x:v>
      </x:c>
      <x:c r="E14" s="26" t="n">
        <x:v>144</x:v>
      </x:c>
      <x:c r="F14" s="26" t="n">
        <x:v>138</x:v>
      </x:c>
      <x:c r="G14" s="26" t="n">
        <x:v>132</x:v>
      </x:c>
      <x:c r="H14" s="26" t="n">
        <x:v>133</x:v>
      </x:c>
      <x:c r="I14" s="26" t="n">
        <x:v>132</x:v>
      </x:c>
      <x:c r="J14" s="26" t="n">
        <x:v>131</x:v>
      </x:c>
      <x:c r="K14" s="26" t="n">
        <x:v>131</x:v>
      </x:c>
      <x:c r="L14" s="26" t="n">
        <x:v>127</x:v>
      </x:c>
      <x:c r="M14" s="26" t="n">
        <x:v>127</x:v>
      </x:c>
      <x:c r="N14" s="26" t="n">
        <x:v>128</x:v>
      </x:c>
      <x:c r="O14" s="26" t="n">
        <x:v>122</x:v>
      </x:c>
      <x:c r="P14" s="26" t="n">
        <x:v>122</x:v>
      </x:c>
      <x:c r="Q14" s="26" t="n">
        <x:v>120</x:v>
      </x:c>
      <x:c r="R14" s="26" t="n">
        <x:v>118</x:v>
      </x:c>
      <x:c r="S14" s="26" t="n">
        <x:v>106</x:v>
      </x:c>
      <x:c r="T14" s="26" t="n">
        <x:v>102</x:v>
      </x:c>
      <x:c r="U14" s="26" t="n">
        <x:v>101</x:v>
      </x:c>
      <x:c r="V14" s="26" t="n">
        <x:v>100</x:v>
      </x:c>
      <x:c r="W14" s="26" t="n">
        <x:v>100</x:v>
      </x:c>
      <x:c r="X14" s="26" t="n">
        <x:v>96</x:v>
      </x:c>
    </x:row>
    <x:row r="15">
      <x:c r="A15" t="str">
        <x:v>Ledig ikke ret til dagpenge</x:v>
      </x:c>
      <x:c r="B15" s="26" t="n">
        <x:v>31</x:v>
      </x:c>
      <x:c r="C15" s="26" t="n">
        <x:v>34</x:v>
      </x:c>
      <x:c r="D15" s="26" t="n">
        <x:v>37</x:v>
      </x:c>
      <x:c r="E15" s="26" t="n">
        <x:v>35</x:v>
      </x:c>
      <x:c r="F15" s="26" t="n">
        <x:v>32</x:v>
      </x:c>
      <x:c r="G15" s="26" t="n">
        <x:v>36</x:v>
      </x:c>
      <x:c r="H15" s="26" t="n">
        <x:v>37</x:v>
      </x:c>
      <x:c r="I15" s="26" t="n">
        <x:v>38</x:v>
      </x:c>
      <x:c r="J15" s="26" t="n">
        <x:v>39</x:v>
      </x:c>
      <x:c r="K15" s="26" t="n">
        <x:v>40</x:v>
      </x:c>
      <x:c r="L15" s="26" t="n">
        <x:v>39</x:v>
      </x:c>
      <x:c r="M15" s="26" t="n">
        <x:v>41</x:v>
      </x:c>
      <x:c r="N15" s="26" t="n">
        <x:v>43</x:v>
      </x:c>
      <x:c r="O15" s="26" t="n">
        <x:v>44</x:v>
      </x:c>
      <x:c r="P15" s="26" t="n">
        <x:v>50</x:v>
      </x:c>
      <x:c r="Q15" s="26" t="n">
        <x:v>52</x:v>
      </x:c>
      <x:c r="R15" s="26" t="n">
        <x:v>54</x:v>
      </x:c>
      <x:c r="S15" s="26" t="n">
        <x:v>55</x:v>
      </x:c>
      <x:c r="T15" s="26" t="n">
        <x:v>58</x:v>
      </x:c>
      <x:c r="U15" s="26" t="n">
        <x:v>60</x:v>
      </x:c>
      <x:c r="V15" s="26" t="n">
        <x:v>65</x:v>
      </x:c>
      <x:c r="W15" s="26" t="n">
        <x:v>61</x:v>
      </x:c>
      <x:c r="X15" s="26" t="n">
        <x:v>54</x:v>
      </x:c>
    </x:row>
    <x:row r="16">
      <x:c r="A16" t="str">
        <x:v>Normaltansat under 20 timer</x:v>
      </x:c>
      <x:c r="B16" s="26" t="n">
        <x:v>98</x:v>
      </x:c>
      <x:c r="C16" s="26" t="n">
        <x:v>98</x:v>
      </x:c>
      <x:c r="D16" s="26" t="n">
        <x:v>117</x:v>
      </x:c>
      <x:c r="E16" s="26" t="n">
        <x:v>121</x:v>
      </x:c>
      <x:c r="F16" s="26" t="n">
        <x:v>132</x:v>
      </x:c>
      <x:c r="G16" s="26" t="n">
        <x:v>128</x:v>
      </x:c>
      <x:c r="H16" s="26" t="n">
        <x:v>126</x:v>
      </x:c>
      <x:c r="I16" s="26" t="n">
        <x:v>122</x:v>
      </x:c>
      <x:c r="J16" s="26" t="n">
        <x:v>114</x:v>
      </x:c>
      <x:c r="K16" s="26" t="n">
        <x:v>116</x:v>
      </x:c>
      <x:c r="L16" s="26" t="n">
        <x:v>116</x:v>
      </x:c>
      <x:c r="M16" s="26" t="n">
        <x:v>112</x:v>
      </x:c>
      <x:c r="N16" s="26" t="n">
        <x:v>111</x:v>
      </x:c>
      <x:c r="O16" s="26" t="n">
        <x:v>111</x:v>
      </x:c>
      <x:c r="P16" s="26" t="n">
        <x:v>111</x:v>
      </x:c>
      <x:c r="Q16" s="26" t="n">
        <x:v>113</x:v>
      </x:c>
      <x:c r="R16" s="26" t="n">
        <x:v>115</x:v>
      </x:c>
      <x:c r="S16" s="26" t="n">
        <x:v>112</x:v>
      </x:c>
      <x:c r="T16" s="26" t="n">
        <x:v>109</x:v>
      </x:c>
      <x:c r="U16" s="26" t="n">
        <x:v>107</x:v>
      </x:c>
      <x:c r="V16" s="26" t="n">
        <x:v>107</x:v>
      </x:c>
      <x:c r="W16" s="26" t="n">
        <x:v>109</x:v>
      </x:c>
      <x:c r="X16" s="26" t="n">
        <x:v>110</x:v>
      </x:c>
    </x:row>
    <x:row r="17">
      <x:c r="A17" t="str">
        <x:v>DLF og DP ret</x:v>
      </x:c>
      <x:c r="B17" s="26" t="n">
        <x:v>52</x:v>
      </x:c>
      <x:c r="C17" s="26" t="n">
        <x:v>51</x:v>
      </x:c>
      <x:c r="D17" s="26" t="n">
        <x:v>51</x:v>
      </x:c>
      <x:c r="E17" s="26" t="n">
        <x:v>50</x:v>
      </x:c>
      <x:c r="F17" s="26" t="n">
        <x:v>50</x:v>
      </x:c>
      <x:c r="G17" s="26" t="n">
        <x:v>46</x:v>
      </x:c>
      <x:c r="H17" s="26" t="n">
        <x:v>46</x:v>
      </x:c>
      <x:c r="I17" s="26" t="n">
        <x:v>45</x:v>
      </x:c>
      <x:c r="J17" s="26" t="n">
        <x:v>45</x:v>
      </x:c>
      <x:c r="K17" s="26" t="n">
        <x:v>44</x:v>
      </x:c>
      <x:c r="L17" s="26" t="n">
        <x:v>44</x:v>
      </x:c>
      <x:c r="M17" s="26" t="n">
        <x:v>41</x:v>
      </x:c>
      <x:c r="N17" s="26" t="n">
        <x:v>40</x:v>
      </x:c>
      <x:c r="O17" s="26" t="n">
        <x:v>43</x:v>
      </x:c>
      <x:c r="P17" s="26" t="n">
        <x:v>42</x:v>
      </x:c>
      <x:c r="Q17" s="26" t="n">
        <x:v>40</x:v>
      </x:c>
      <x:c r="R17" s="26" t="n">
        <x:v>36</x:v>
      </x:c>
      <x:c r="S17" s="26" t="n">
        <x:v>34</x:v>
      </x:c>
      <x:c r="T17" s="26" t="n">
        <x:v>34</x:v>
      </x:c>
      <x:c r="U17" s="26" t="n">
        <x:v>32</x:v>
      </x:c>
      <x:c r="V17" s="26" t="n">
        <x:v>32</x:v>
      </x:c>
      <x:c r="W17" s="26" t="n">
        <x:v>32</x:v>
      </x:c>
      <x:c r="X17" s="26" t="n">
        <x:v>31</x:v>
      </x:c>
    </x:row>
    <x:row r="18">
      <x:c r="A18" t="str">
        <x:v>Med løntilskud</x:v>
      </x:c>
      <x:c r="B18" s="26" t="n">
        <x:v>17</x:v>
      </x:c>
      <x:c r="C18" s="26" t="n">
        <x:v>18</x:v>
      </x:c>
      <x:c r="D18" s="26" t="n">
        <x:v>18</x:v>
      </x:c>
      <x:c r="E18" s="26" t="n">
        <x:v>18</x:v>
      </x:c>
      <x:c r="F18" s="26" t="n">
        <x:v>18</x:v>
      </x:c>
      <x:c r="G18" s="26" t="n">
        <x:v>20</x:v>
      </x:c>
      <x:c r="H18" s="26" t="n">
        <x:v>19</x:v>
      </x:c>
      <x:c r="I18" s="26" t="n">
        <x:v>21</x:v>
      </x:c>
      <x:c r="J18" s="26" t="n">
        <x:v>21</x:v>
      </x:c>
      <x:c r="K18" s="26" t="n">
        <x:v>22</x:v>
      </x:c>
      <x:c r="L18" s="26" t="n">
        <x:v>22</x:v>
      </x:c>
      <x:c r="M18" s="26" t="n">
        <x:v>22</x:v>
      </x:c>
      <x:c r="N18" s="26" t="n">
        <x:v>20</x:v>
      </x:c>
      <x:c r="O18" s="26" t="n">
        <x:v>19</x:v>
      </x:c>
      <x:c r="P18" s="26" t="n">
        <x:v>20</x:v>
      </x:c>
      <x:c r="Q18" s="26" t="n">
        <x:v>20</x:v>
      </x:c>
      <x:c r="R18" s="26" t="n">
        <x:v>20</x:v>
      </x:c>
      <x:c r="S18" s="26" t="n">
        <x:v>20</x:v>
      </x:c>
      <x:c r="T18" s="26" t="n">
        <x:v>20</x:v>
      </x:c>
      <x:c r="U18" s="26" t="n">
        <x:v>20</x:v>
      </x:c>
      <x:c r="V18" s="26" t="n">
        <x:v>21</x:v>
      </x:c>
      <x:c r="W18" s="26" t="n">
        <x:v>21</x:v>
      </x:c>
      <x:c r="X18" s="26" t="n">
        <x:v>21</x:v>
      </x:c>
    </x:row>
    <x:row r="19">
      <x:c r="A19" t="str">
        <x:v>Pensionist DP</x:v>
      </x:c>
      <x:c r="B19" s="26" t="n">
        <x:v>12</x:v>
      </x:c>
      <x:c r="C19" s="26" t="n">
        <x:v>12</x:v>
      </x:c>
      <x:c r="D19" s="26" t="n">
        <x:v>12</x:v>
      </x:c>
      <x:c r="E19" s="26" t="n">
        <x:v>12</x:v>
      </x:c>
      <x:c r="F19" s="26" t="n">
        <x:v>1086</x:v>
      </x:c>
      <x:c r="G19" s="26" t="n">
        <x:v>1094</x:v>
      </x:c>
      <x:c r="H19" s="26" t="n">
        <x:v>1093</x:v>
      </x:c>
      <x:c r="I19" s="26" t="n">
        <x:v>1082</x:v>
      </x:c>
      <x:c r="J19" s="26" t="n">
        <x:v>1092</x:v>
      </x:c>
      <x:c r="K19" s="26" t="n">
        <x:v>1089</x:v>
      </x:c>
      <x:c r="L19" s="26" t="n">
        <x:v>1088</x:v>
      </x:c>
      <x:c r="M19" s="26" t="n">
        <x:v>1083</x:v>
      </x:c>
      <x:c r="N19" s="26" t="n">
        <x:v>1074</x:v>
      </x:c>
      <x:c r="O19" s="26" t="n">
        <x:v>1077</x:v>
      </x:c>
      <x:c r="P19" s="26" t="n">
        <x:v>1078</x:v>
      </x:c>
      <x:c r="Q19" s="26" t="n">
        <x:v>1092</x:v>
      </x:c>
      <x:c r="R19" s="26" t="n">
        <x:v>1092</x:v>
      </x:c>
      <x:c r="S19" s="26" t="n">
        <x:v>1095</x:v>
      </x:c>
      <x:c r="T19" s="26" t="n">
        <x:v>1103</x:v>
      </x:c>
      <x:c r="U19" s="26" t="n">
        <x:v>1109</x:v>
      </x:c>
      <x:c r="V19" s="26" t="n">
        <x:v>1110</x:v>
      </x:c>
      <x:c r="W19" s="26" t="n">
        <x:v>1101</x:v>
      </x:c>
      <x:c r="X19" s="26" t="n">
        <x:v>1086</x:v>
      </x:c>
    </x:row>
    <x:row r="20">
      <x:c r="A20" t="str">
        <x:v>DM1 Mag. art.</x:v>
      </x:c>
      <x:c r="B20" s="26" t="n">
        <x:v>9</x:v>
      </x:c>
      <x:c r="C20" s="26" t="n">
        <x:v>9</x:v>
      </x:c>
      <x:c r="D20" s="26" t="n">
        <x:v>9</x:v>
      </x:c>
      <x:c r="E20" s="26" t="n">
        <x:v>9</x:v>
      </x:c>
      <x:c r="F20" s="26" t="n">
        <x:v>9</x:v>
      </x:c>
      <x:c r="G20" s="26" t="n">
        <x:v>9</x:v>
      </x:c>
      <x:c r="H20" s="26" t="n">
        <x:v>9</x:v>
      </x:c>
      <x:c r="I20" s="26" t="n">
        <x:v>9</x:v>
      </x:c>
      <x:c r="J20" s="26" t="n">
        <x:v>9</x:v>
      </x:c>
      <x:c r="K20" s="26" t="n">
        <x:v>9</x:v>
      </x:c>
      <x:c r="L20" s="26" t="n">
        <x:v>8</x:v>
      </x:c>
      <x:c r="M20" s="26" t="n">
        <x:v>6</x:v>
      </x:c>
      <x:c r="N20" s="26" t="n">
        <x:v>6</x:v>
      </x:c>
      <x:c r="O20" s="26" t="n">
        <x:v>6</x:v>
      </x:c>
      <x:c r="P20" s="26" t="n">
        <x:v>6</x:v>
      </x:c>
      <x:c r="Q20" s="26" t="n">
        <x:v>5</x:v>
      </x:c>
      <x:c r="R20" s="26" t="n">
        <x:v>5</x:v>
      </x:c>
      <x:c r="S20" s="26" t="n">
        <x:v>5</x:v>
      </x:c>
      <x:c r="T20" s="26" t="n">
        <x:v>5</x:v>
      </x:c>
      <x:c r="U20" s="26" t="n">
        <x:v>5</x:v>
      </x:c>
      <x:c r="V20" s="26" t="n">
        <x:v>5</x:v>
      </x:c>
      <x:c r="W20" s="26" t="n">
        <x:v>4</x:v>
      </x:c>
      <x:c r="X20" s="26" t="n">
        <x:v>4</x:v>
      </x:c>
    </x:row>
    <x:row r="21">
      <x:c r="A21" t="str">
        <x:v>Æresmedlem</x:v>
      </x:c>
      <x:c r="B21" s="26" t="n">
        <x:v>10</x:v>
      </x:c>
      <x:c r="C21" s="26" t="n">
        <x:v>10</x:v>
      </x:c>
      <x:c r="D21" s="26" t="n">
        <x:v>10</x:v>
      </x:c>
      <x:c r="E21" s="26" t="n">
        <x:v>10</x:v>
      </x:c>
      <x:c r="F21" s="26" t="n">
        <x:v>9</x:v>
      </x:c>
      <x:c r="G21" s="26" t="n">
        <x:v>8</x:v>
      </x:c>
      <x:c r="H21" s="26" t="n">
        <x:v>8</x:v>
      </x:c>
      <x:c r="I21" s="26" t="n">
        <x:v>8</x:v>
      </x:c>
      <x:c r="J21" s="26" t="n">
        <x:v>8</x:v>
      </x:c>
      <x:c r="K21" s="26" t="n">
        <x:v>8</x:v>
      </x:c>
      <x:c r="L21" s="26" t="n">
        <x:v>8</x:v>
      </x:c>
      <x:c r="M21" s="26" t="n">
        <x:v>8</x:v>
      </x:c>
      <x:c r="N21" s="26" t="n">
        <x:v>8</x:v>
      </x:c>
      <x:c r="O21" s="26" t="n">
        <x:v>8</x:v>
      </x:c>
      <x:c r="P21" s="26" t="n">
        <x:v>8</x:v>
      </x:c>
      <x:c r="Q21" s="26" t="n">
        <x:v>8</x:v>
      </x:c>
      <x:c r="R21" s="26" t="n">
        <x:v>8</x:v>
      </x:c>
      <x:c r="S21" s="26" t="n">
        <x:v>10</x:v>
      </x:c>
      <x:c r="T21" s="26" t="n">
        <x:v>10</x:v>
      </x:c>
      <x:c r="U21" s="26" t="n">
        <x:v>10</x:v>
      </x:c>
      <x:c r="V21" s="26" t="n">
        <x:v>10</x:v>
      </x:c>
      <x:c r="W21" s="26" t="n">
        <x:v>10</x:v>
      </x:c>
      <x:c r="X21" s="26" t="n">
        <x:v>10</x:v>
      </x:c>
    </x:row>
    <x:row r="22">
      <x:c r="A22" t="str">
        <x:v>DP medlem</x:v>
      </x:c>
      <x:c r="B22" s="26" t="n">
        <x:v>1</x:v>
      </x:c>
      <x:c r="C22" s="26" t="n">
        <x:v>1</x:v>
      </x:c>
      <x:c r="D22" s="26" t="n">
        <x:v>1</x:v>
      </x:c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26" t="n">
        <x:v>0</x:v>
      </x:c>
      <x:c r="J22" s="26" t="n">
        <x:v>0</x:v>
      </x:c>
      <x:c r="K22" s="26" t="n">
        <x:v>0</x:v>
      </x:c>
      <x:c r="L22" s="26" t="n">
        <x:v>0</x:v>
      </x:c>
      <x:c r="M22" s="26" t="n">
        <x:v>0</x:v>
      </x:c>
      <x:c r="N22" s="26" t="n">
        <x:v>0</x:v>
      </x:c>
      <x:c r="O22" s="26" t="n">
        <x:v>0</x:v>
      </x:c>
      <x:c r="P22" s="26" t="n">
        <x:v>0</x:v>
      </x:c>
      <x:c r="Q22" s="26" t="n">
        <x:v>0</x:v>
      </x:c>
      <x:c r="R22" s="26" t="n">
        <x:v>0</x:v>
      </x:c>
      <x:c r="S22" s="26" t="n">
        <x:v>0</x:v>
      </x:c>
      <x:c r="T22" s="26" t="n">
        <x:v>0</x:v>
      </x:c>
      <x:c r="U22" s="26" t="n">
        <x:v>0</x:v>
      </x:c>
      <x:c r="V22" s="26" t="n">
        <x:v>0</x:v>
      </x:c>
      <x:c r="W22" s="26" t="n">
        <x:v>0</x:v>
      </x:c>
      <x:c r="X22" s="26" t="n">
        <x:v>0</x:v>
      </x:c>
    </x:row>
    <x:row r="23">
      <x:c r="A23" s="31" t="str">
        <x:v>Alle medlemmer</x:v>
      </x:c>
      <x:c r="B23" s="31" t="n">
        <x:v>11705</x:v>
      </x:c>
      <x:c r="C23" s="31" t="n">
        <x:v>11717</x:v>
      </x:c>
      <x:c r="D23" s="31" t="n">
        <x:v>11699</x:v>
      </x:c>
      <x:c r="E23" s="31" t="n">
        <x:v>11755</x:v>
      </x:c>
      <x:c r="F23" s="31" t="n">
        <x:v>11715</x:v>
      </x:c>
      <x:c r="G23" s="31" t="n">
        <x:v>11698</x:v>
      </x:c>
      <x:c r="H23" s="31" t="n">
        <x:v>11696</x:v>
      </x:c>
      <x:c r="I23" s="31" t="n">
        <x:v>11707</x:v>
      </x:c>
      <x:c r="J23" s="31" t="n">
        <x:v>12045</x:v>
      </x:c>
      <x:c r="K23" s="31" t="n">
        <x:v>12051</x:v>
      </x:c>
      <x:c r="L23" s="31" t="n">
        <x:v>12043</x:v>
      </x:c>
      <x:c r="M23" s="31" t="n">
        <x:v>12039</x:v>
      </x:c>
      <x:c r="N23" s="31" t="n">
        <x:v>12065</x:v>
      </x:c>
      <x:c r="O23" s="31" t="n">
        <x:v>12505</x:v>
      </x:c>
      <x:c r="P23" s="31" t="n">
        <x:v>12634</x:v>
      </x:c>
      <x:c r="Q23" s="31" t="n">
        <x:v>12618</x:v>
      </x:c>
      <x:c r="R23" s="31" t="n">
        <x:v>12678</x:v>
      </x:c>
      <x:c r="S23" s="31" t="n">
        <x:v>12706</x:v>
      </x:c>
      <x:c r="T23" s="31" t="n">
        <x:v>13090</x:v>
      </x:c>
      <x:c r="U23" s="31" t="n">
        <x:v>13248</x:v>
      </x:c>
      <x:c r="V23" s="31" t="n">
        <x:v>13205</x:v>
      </x:c>
      <x:c r="W23" s="31" t="n">
        <x:v>13212</x:v>
      </x:c>
      <x:c r="X23" s="31" t="n">
        <x:v>13233</x:v>
      </x:c>
    </x:row>
  </x:sheetData>
  <x:pageMargins left="0.7" right="0.7" top="0.75" bottom="0.75" header="0.3" footer="0.3"/>
  <x:tableParts count="1">
    <x:tablePart xmlns:r="http://schemas.openxmlformats.org/officeDocument/2006/relationships" r:id="Rd25e8b91e13e45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4.25" hidden="0" customWidth="1"/>
    <x:col min="3" max="3" width="11.75" hidden="0" customWidth="1"/>
    <x:col min="4" max="4" width="34" hidden="0" customWidth="1"/>
    <x:col min="5" max="5" width="5.630000114440918" hidden="0" customWidth="1"/>
    <x:col min="6" max="6" width="6.130000114440918" hidden="0" customWidth="1"/>
  </x:cols>
  <x:sheetData>
    <x:row r="1" ht="24" customHeight="1">
      <x:c r="A1" s="14" t="str">
        <x:v>Dato</x:v>
      </x:c>
      <x:c r="B1" s="14" t="str">
        <x:v>År</x:v>
      </x:c>
      <x:c r="C1" s="14" t="str">
        <x:v>Nedslagspunkt</x:v>
      </x:c>
      <x:c r="D1" s="14" t="str">
        <x:v>Medlemstype</x:v>
      </x:c>
      <x:c r="E1" s="14" t="str">
        <x:v>Antal</x:v>
      </x:c>
      <x:c r="F1" s="14" t="str">
        <x:v>Er total</x:v>
      </x:c>
    </x:row>
    <x:row r="2">
      <x:c r="A2" s="38" t="n">
        <x:v>44592</x:v>
      </x:c>
      <x:c r="B2" t="n">
        <x:v>2022</x:v>
      </x:c>
      <x:c r="C2" t="str">
        <x:v>31.01</x:v>
      </x:c>
      <x:c r="D2" t="str">
        <x:v>Normaltansat over 19 timer</x:v>
      </x:c>
      <x:c r="E2" s="26" t="n">
        <x:v>5306</x:v>
      </x:c>
      <x:c r="F2" s="32" t="b">
        <x:v>0</x:v>
      </x:c>
    </x:row>
    <x:row r="3">
      <x:c r="A3" s="38" t="n">
        <x:v>44592</x:v>
      </x:c>
      <x:c r="B3" t="n">
        <x:v>2022</x:v>
      </x:c>
      <x:c r="C3" t="str">
        <x:v>31.01</x:v>
      </x:c>
      <x:c r="D3" t="str">
        <x:v>Psykologistuderende</x:v>
      </x:c>
      <x:c r="E3" s="26" t="n">
        <x:v>373</x:v>
      </x:c>
      <x:c r="F3" s="32" t="b">
        <x:v>0</x:v>
      </x:c>
    </x:row>
    <x:row r="4">
      <x:c r="A4" s="38" t="n">
        <x:v>44592</x:v>
      </x:c>
      <x:c r="B4" t="n">
        <x:v>2022</x:v>
      </x:c>
      <x:c r="C4" t="str">
        <x:v>31.01</x:v>
      </x:c>
      <x:c r="D4" t="str">
        <x:v>Pensionist DP - Udland</x:v>
      </x:c>
      <x:c r="E4" s="26" t="n">
        <x:v>1083</x:v>
      </x:c>
      <x:c r="F4" s="32" t="b">
        <x:v>0</x:v>
      </x:c>
    </x:row>
    <x:row r="5">
      <x:c r="A5" s="38" t="n">
        <x:v>44592</x:v>
      </x:c>
      <x:c r="B5" t="n">
        <x:v>2022</x:v>
      </x:c>
      <x:c r="C5" t="str">
        <x:v>31.01</x:v>
      </x:c>
      <x:c r="D5" t="str">
        <x:v>Ledig DP</x:v>
      </x:c>
      <x:c r="E5" s="26" t="n">
        <x:v>411</x:v>
      </x:c>
      <x:c r="F5" s="32" t="b">
        <x:v>0</x:v>
      </x:c>
    </x:row>
    <x:row r="6">
      <x:c r="A6" s="38" t="n">
        <x:v>44592</x:v>
      </x:c>
      <x:c r="B6" t="n">
        <x:v>2022</x:v>
      </x:c>
      <x:c r="C6" t="str">
        <x:v>31.01</x:v>
      </x:c>
      <x:c r="D6" t="str">
        <x:v>1 og 2 års Kandidater</x:v>
      </x:c>
      <x:c r="E6" s="26" t="n">
        <x:v>461</x:v>
      </x:c>
      <x:c r="F6" s="32" t="b">
        <x:v>0</x:v>
      </x:c>
    </x:row>
    <x:row r="7">
      <x:c r="A7" s="38" t="n">
        <x:v>44592</x:v>
      </x:c>
      <x:c r="B7" t="n">
        <x:v>2022</x:v>
      </x:c>
      <x:c r="C7" t="str">
        <x:v>31.01</x:v>
      </x:c>
      <x:c r="D7" t="str">
        <x:v>Selvstændig</x:v>
      </x:c>
      <x:c r="E7" s="26" t="n">
        <x:v>2210</x:v>
      </x:c>
      <x:c r="F7" s="32" t="b">
        <x:v>0</x:v>
      </x:c>
    </x:row>
    <x:row r="8">
      <x:c r="A8" s="38" t="n">
        <x:v>44592</x:v>
      </x:c>
      <x:c r="B8" t="n">
        <x:v>2022</x:v>
      </x:c>
      <x:c r="C8" t="str">
        <x:v>31.01</x:v>
      </x:c>
      <x:c r="D8" t="str">
        <x:v>Studerende DP</x:v>
      </x:c>
      <x:c r="E8" s="26" t="n">
        <x:v>1213</x:v>
      </x:c>
      <x:c r="F8" s="32" t="b">
        <x:v>0</x:v>
      </x:c>
    </x:row>
    <x:row r="9">
      <x:c r="A9" s="38" t="n">
        <x:v>44592</x:v>
      </x:c>
      <x:c r="B9" t="n">
        <x:v>2022</x:v>
      </x:c>
      <x:c r="C9" t="str">
        <x:v>31.01</x:v>
      </x:c>
      <x:c r="D9" t="str">
        <x:v>Ph.d. studerende</x:v>
      </x:c>
      <x:c r="E9" s="26" t="n">
        <x:v>60</x:v>
      </x:c>
      <x:c r="F9" s="32" t="b">
        <x:v>0</x:v>
      </x:c>
    </x:row>
    <x:row r="10">
      <x:c r="A10" s="38" t="n">
        <x:v>44592</x:v>
      </x:c>
      <x:c r="B10" t="n">
        <x:v>2022</x:v>
      </x:c>
      <x:c r="C10" t="str">
        <x:v>31.01</x:v>
      </x:c>
      <x:c r="D10" t="str">
        <x:v>Orlov uden løn DP</x:v>
      </x:c>
      <x:c r="E10" s="26" t="n">
        <x:v>83</x:v>
      </x:c>
      <x:c r="F10" s="32" t="b">
        <x:v>0</x:v>
      </x:c>
    </x:row>
    <x:row r="11">
      <x:c r="A11" s="38" t="n">
        <x:v>44592</x:v>
      </x:c>
      <x:c r="B11" t="n">
        <x:v>2022</x:v>
      </x:c>
      <x:c r="C11" t="str">
        <x:v>31.01</x:v>
      </x:c>
      <x:c r="D11" t="str">
        <x:v>Udland DP</x:v>
      </x:c>
      <x:c r="E11" s="26" t="n">
        <x:v>67</x:v>
      </x:c>
      <x:c r="F11" s="32" t="b">
        <x:v>0</x:v>
      </x:c>
    </x:row>
    <x:row r="12">
      <x:c r="A12" s="38" t="n">
        <x:v>44592</x:v>
      </x:c>
      <x:c r="B12" t="n">
        <x:v>2022</x:v>
      </x:c>
      <x:c r="C12" t="str">
        <x:v>31.01</x:v>
      </x:c>
      <x:c r="D12" t="str">
        <x:v>Anden forhandlingsret</x:v>
      </x:c>
      <x:c r="E12" s="26" t="n">
        <x:v>30</x:v>
      </x:c>
      <x:c r="F12" s="32" t="b">
        <x:v>0</x:v>
      </x:c>
    </x:row>
    <x:row r="13">
      <x:c r="A13" s="38" t="n">
        <x:v>44592</x:v>
      </x:c>
      <x:c r="B13" t="n">
        <x:v>2022</x:v>
      </x:c>
      <x:c r="C13" t="str">
        <x:v>31.01</x:v>
      </x:c>
      <x:c r="D13" t="str">
        <x:v>Efterløn DP</x:v>
      </x:c>
      <x:c r="E13" s="26" t="n">
        <x:v>24</x:v>
      </x:c>
      <x:c r="F13" s="32" t="b">
        <x:v>0</x:v>
      </x:c>
    </x:row>
    <x:row r="14">
      <x:c r="A14" s="38" t="n">
        <x:v>44592</x:v>
      </x:c>
      <x:c r="B14" t="n">
        <x:v>2022</x:v>
      </x:c>
      <x:c r="C14" t="str">
        <x:v>31.01</x:v>
      </x:c>
      <x:c r="D14" t="str">
        <x:v>DLF og DLF ret</x:v>
      </x:c>
      <x:c r="E14" s="26" t="n">
        <x:v>154</x:v>
      </x:c>
      <x:c r="F14" s="32" t="b">
        <x:v>0</x:v>
      </x:c>
    </x:row>
    <x:row r="15">
      <x:c r="A15" s="38" t="n">
        <x:v>44592</x:v>
      </x:c>
      <x:c r="B15" t="n">
        <x:v>2022</x:v>
      </x:c>
      <x:c r="C15" t="str">
        <x:v>31.01</x:v>
      </x:c>
      <x:c r="D15" t="str">
        <x:v>Ledig ikke ret til dagpenge</x:v>
      </x:c>
      <x:c r="E15" s="26" t="n">
        <x:v>31</x:v>
      </x:c>
      <x:c r="F15" s="32" t="b">
        <x:v>0</x:v>
      </x:c>
    </x:row>
    <x:row r="16">
      <x:c r="A16" s="38" t="n">
        <x:v>44592</x:v>
      </x:c>
      <x:c r="B16" t="n">
        <x:v>2022</x:v>
      </x:c>
      <x:c r="C16" t="str">
        <x:v>31.01</x:v>
      </x:c>
      <x:c r="D16" t="str">
        <x:v>Normaltansat under 20 timer</x:v>
      </x:c>
      <x:c r="E16" s="26" t="n">
        <x:v>98</x:v>
      </x:c>
      <x:c r="F16" s="32" t="b">
        <x:v>0</x:v>
      </x:c>
    </x:row>
    <x:row r="17">
      <x:c r="A17" s="38" t="n">
        <x:v>44592</x:v>
      </x:c>
      <x:c r="B17" t="n">
        <x:v>2022</x:v>
      </x:c>
      <x:c r="C17" t="str">
        <x:v>31.01</x:v>
      </x:c>
      <x:c r="D17" t="str">
        <x:v>DLF og DP ret</x:v>
      </x:c>
      <x:c r="E17" s="26" t="n">
        <x:v>52</x:v>
      </x:c>
      <x:c r="F17" s="32" t="b">
        <x:v>0</x:v>
      </x:c>
    </x:row>
    <x:row r="18">
      <x:c r="A18" s="38" t="n">
        <x:v>44592</x:v>
      </x:c>
      <x:c r="B18" t="n">
        <x:v>2022</x:v>
      </x:c>
      <x:c r="C18" t="str">
        <x:v>31.01</x:v>
      </x:c>
      <x:c r="D18" t="str">
        <x:v>Med løntilskud</x:v>
      </x:c>
      <x:c r="E18" s="26" t="n">
        <x:v>17</x:v>
      </x:c>
      <x:c r="F18" s="32" t="b">
        <x:v>0</x:v>
      </x:c>
    </x:row>
    <x:row r="19">
      <x:c r="A19" s="38" t="n">
        <x:v>44592</x:v>
      </x:c>
      <x:c r="B19" t="n">
        <x:v>2022</x:v>
      </x:c>
      <x:c r="C19" t="str">
        <x:v>31.01</x:v>
      </x:c>
      <x:c r="D19" t="str">
        <x:v>Pensionist DP</x:v>
      </x:c>
      <x:c r="E19" s="26" t="n">
        <x:v>12</x:v>
      </x:c>
      <x:c r="F19" s="32" t="b">
        <x:v>0</x:v>
      </x:c>
    </x:row>
    <x:row r="20">
      <x:c r="A20" s="38" t="n">
        <x:v>44592</x:v>
      </x:c>
      <x:c r="B20" t="n">
        <x:v>2022</x:v>
      </x:c>
      <x:c r="C20" t="str">
        <x:v>31.01</x:v>
      </x:c>
      <x:c r="D20" t="str">
        <x:v>DM1 Mag. art.</x:v>
      </x:c>
      <x:c r="E20" s="26" t="n">
        <x:v>9</x:v>
      </x:c>
      <x:c r="F20" s="32" t="b">
        <x:v>0</x:v>
      </x:c>
    </x:row>
    <x:row r="21">
      <x:c r="A21" s="38" t="n">
        <x:v>44592</x:v>
      </x:c>
      <x:c r="B21" t="n">
        <x:v>2022</x:v>
      </x:c>
      <x:c r="C21" t="str">
        <x:v>31.01</x:v>
      </x:c>
      <x:c r="D21" t="str">
        <x:v>Æresmedlem</x:v>
      </x:c>
      <x:c r="E21" s="26" t="n">
        <x:v>10</x:v>
      </x:c>
      <x:c r="F21" s="32" t="b">
        <x:v>0</x:v>
      </x:c>
    </x:row>
    <x:row r="22">
      <x:c r="A22" s="38" t="n">
        <x:v>44592</x:v>
      </x:c>
      <x:c r="B22" t="n">
        <x:v>2022</x:v>
      </x:c>
      <x:c r="C22" t="str">
        <x:v>31.01</x:v>
      </x:c>
      <x:c r="D22" t="str">
        <x:v>DP medlem</x:v>
      </x:c>
      <x:c r="E22" s="26" t="n">
        <x:v>1</x:v>
      </x:c>
      <x:c r="F22" s="32" t="b">
        <x:v>0</x:v>
      </x:c>
    </x:row>
    <x:row r="23">
      <x:c r="A23" s="38" t="n">
        <x:v>44592</x:v>
      </x:c>
      <x:c r="B23" t="n">
        <x:v>2022</x:v>
      </x:c>
      <x:c r="C23" t="str">
        <x:v>31.01</x:v>
      </x:c>
      <x:c r="D23" t="str">
        <x:v>Alle medlemmer</x:v>
      </x:c>
      <x:c r="E23" s="26" t="n">
        <x:v>11705</x:v>
      </x:c>
      <x:c r="F23" s="32" t="b">
        <x:v>1</x:v>
      </x:c>
    </x:row>
    <x:row r="24">
      <x:c r="A24" s="38" t="n">
        <x:v>44651</x:v>
      </x:c>
      <x:c r="B24" t="n">
        <x:v>2022</x:v>
      </x:c>
      <x:c r="C24" t="str">
        <x:v>31.03</x:v>
      </x:c>
      <x:c r="D24" t="str">
        <x:v>Normaltansat over 19 timer</x:v>
      </x:c>
      <x:c r="E24" s="26" t="n">
        <x:v>5279</x:v>
      </x:c>
      <x:c r="F24" s="32" t="b">
        <x:v>0</x:v>
      </x:c>
    </x:row>
    <x:row r="25">
      <x:c r="A25" s="38" t="n">
        <x:v>44651</x:v>
      </x:c>
      <x:c r="B25" t="n">
        <x:v>2022</x:v>
      </x:c>
      <x:c r="C25" t="str">
        <x:v>31.03</x:v>
      </x:c>
      <x:c r="D25" t="str">
        <x:v>Psykologistuderende</x:v>
      </x:c>
      <x:c r="E25" s="26" t="n">
        <x:v>305</x:v>
      </x:c>
      <x:c r="F25" s="32" t="b">
        <x:v>0</x:v>
      </x:c>
    </x:row>
    <x:row r="26">
      <x:c r="A26" s="38" t="n">
        <x:v>44651</x:v>
      </x:c>
      <x:c r="B26" t="n">
        <x:v>2022</x:v>
      </x:c>
      <x:c r="C26" t="str">
        <x:v>31.03</x:v>
      </x:c>
      <x:c r="D26" t="str">
        <x:v>Pensionist DP - Udland</x:v>
      </x:c>
      <x:c r="E26" s="26" t="n">
        <x:v>1088</x:v>
      </x:c>
      <x:c r="F26" s="32" t="b">
        <x:v>0</x:v>
      </x:c>
    </x:row>
    <x:row r="27">
      <x:c r="A27" s="38" t="n">
        <x:v>44651</x:v>
      </x:c>
      <x:c r="B27" t="n">
        <x:v>2022</x:v>
      </x:c>
      <x:c r="C27" t="str">
        <x:v>31.03</x:v>
      </x:c>
      <x:c r="D27" t="str">
        <x:v>Ledig DP</x:v>
      </x:c>
      <x:c r="E27" s="26" t="n">
        <x:v>409</x:v>
      </x:c>
      <x:c r="F27" s="32" t="b">
        <x:v>0</x:v>
      </x:c>
    </x:row>
    <x:row r="28">
      <x:c r="A28" s="38" t="n">
        <x:v>44651</x:v>
      </x:c>
      <x:c r="B28" t="n">
        <x:v>2022</x:v>
      </x:c>
      <x:c r="C28" t="str">
        <x:v>31.03</x:v>
      </x:c>
      <x:c r="D28" t="str">
        <x:v>1 og 2 års Kandidater</x:v>
      </x:c>
      <x:c r="E28" s="26" t="n">
        <x:v>512</x:v>
      </x:c>
      <x:c r="F28" s="32" t="b">
        <x:v>0</x:v>
      </x:c>
    </x:row>
    <x:row r="29">
      <x:c r="A29" s="38" t="n">
        <x:v>44651</x:v>
      </x:c>
      <x:c r="B29" t="n">
        <x:v>2022</x:v>
      </x:c>
      <x:c r="C29" t="str">
        <x:v>31.03</x:v>
      </x:c>
      <x:c r="D29" t="str">
        <x:v>Selvstændig</x:v>
      </x:c>
      <x:c r="E29" s="26" t="n">
        <x:v>2238</x:v>
      </x:c>
      <x:c r="F29" s="32" t="b">
        <x:v>0</x:v>
      </x:c>
    </x:row>
    <x:row r="30">
      <x:c r="A30" s="38" t="n">
        <x:v>44651</x:v>
      </x:c>
      <x:c r="B30" t="n">
        <x:v>2022</x:v>
      </x:c>
      <x:c r="C30" t="str">
        <x:v>31.03</x:v>
      </x:c>
      <x:c r="D30" t="str">
        <x:v>Studerende DP</x:v>
      </x:c>
      <x:c r="E30" s="26" t="n">
        <x:v>1230</x:v>
      </x:c>
      <x:c r="F30" s="32" t="b">
        <x:v>0</x:v>
      </x:c>
    </x:row>
    <x:row r="31">
      <x:c r="A31" s="38" t="n">
        <x:v>44651</x:v>
      </x:c>
      <x:c r="B31" t="n">
        <x:v>2022</x:v>
      </x:c>
      <x:c r="C31" t="str">
        <x:v>31.03</x:v>
      </x:c>
      <x:c r="D31" t="str">
        <x:v>Ph.d. studerende</x:v>
      </x:c>
      <x:c r="E31" s="26" t="n">
        <x:v>56</x:v>
      </x:c>
      <x:c r="F31" s="32" t="b">
        <x:v>0</x:v>
      </x:c>
    </x:row>
    <x:row r="32">
      <x:c r="A32" s="38" t="n">
        <x:v>44651</x:v>
      </x:c>
      <x:c r="B32" t="n">
        <x:v>2022</x:v>
      </x:c>
      <x:c r="C32" t="str">
        <x:v>31.03</x:v>
      </x:c>
      <x:c r="D32" t="str">
        <x:v>Orlov uden løn DP</x:v>
      </x:c>
      <x:c r="E32" s="26" t="n">
        <x:v>93</x:v>
      </x:c>
      <x:c r="F32" s="32" t="b">
        <x:v>0</x:v>
      </x:c>
    </x:row>
    <x:row r="33">
      <x:c r="A33" s="38" t="n">
        <x:v>44651</x:v>
      </x:c>
      <x:c r="B33" t="n">
        <x:v>2022</x:v>
      </x:c>
      <x:c r="C33" t="str">
        <x:v>31.03</x:v>
      </x:c>
      <x:c r="D33" t="str">
        <x:v>Udland DP</x:v>
      </x:c>
      <x:c r="E33" s="26" t="n">
        <x:v>68</x:v>
      </x:c>
      <x:c r="F33" s="32" t="b">
        <x:v>0</x:v>
      </x:c>
    </x:row>
    <x:row r="34">
      <x:c r="A34" s="38" t="n">
        <x:v>44651</x:v>
      </x:c>
      <x:c r="B34" t="n">
        <x:v>2022</x:v>
      </x:c>
      <x:c r="C34" t="str">
        <x:v>31.03</x:v>
      </x:c>
      <x:c r="D34" t="str">
        <x:v>Anden forhandlingsret</x:v>
      </x:c>
      <x:c r="E34" s="26" t="n">
        <x:v>30</x:v>
      </x:c>
      <x:c r="F34" s="32" t="b">
        <x:v>0</x:v>
      </x:c>
    </x:row>
    <x:row r="35">
      <x:c r="A35" s="38" t="n">
        <x:v>44651</x:v>
      </x:c>
      <x:c r="B35" t="n">
        <x:v>2022</x:v>
      </x:c>
      <x:c r="C35" t="str">
        <x:v>31.03</x:v>
      </x:c>
      <x:c r="D35" t="str">
        <x:v>Efterløn DP</x:v>
      </x:c>
      <x:c r="E35" s="26" t="n">
        <x:v>24</x:v>
      </x:c>
      <x:c r="F35" s="32" t="b">
        <x:v>0</x:v>
      </x:c>
    </x:row>
    <x:row r="36">
      <x:c r="A36" s="38" t="n">
        <x:v>44651</x:v>
      </x:c>
      <x:c r="B36" t="n">
        <x:v>2022</x:v>
      </x:c>
      <x:c r="C36" t="str">
        <x:v>31.03</x:v>
      </x:c>
      <x:c r="D36" t="str">
        <x:v>DLF og DLF ret</x:v>
      </x:c>
      <x:c r="E36" s="26" t="n">
        <x:v>152</x:v>
      </x:c>
      <x:c r="F36" s="32" t="b">
        <x:v>0</x:v>
      </x:c>
    </x:row>
    <x:row r="37">
      <x:c r="A37" s="38" t="n">
        <x:v>44651</x:v>
      </x:c>
      <x:c r="B37" t="n">
        <x:v>2022</x:v>
      </x:c>
      <x:c r="C37" t="str">
        <x:v>31.03</x:v>
      </x:c>
      <x:c r="D37" t="str">
        <x:v>Ledig ikke ret til dagpenge</x:v>
      </x:c>
      <x:c r="E37" s="26" t="n">
        <x:v>34</x:v>
      </x:c>
      <x:c r="F37" s="32" t="b">
        <x:v>0</x:v>
      </x:c>
    </x:row>
    <x:row r="38">
      <x:c r="A38" s="38" t="n">
        <x:v>44651</x:v>
      </x:c>
      <x:c r="B38" t="n">
        <x:v>2022</x:v>
      </x:c>
      <x:c r="C38" t="str">
        <x:v>31.03</x:v>
      </x:c>
      <x:c r="D38" t="str">
        <x:v>Normaltansat under 20 timer</x:v>
      </x:c>
      <x:c r="E38" s="26" t="n">
        <x:v>98</x:v>
      </x:c>
      <x:c r="F38" s="32" t="b">
        <x:v>0</x:v>
      </x:c>
    </x:row>
    <x:row r="39">
      <x:c r="A39" s="38" t="n">
        <x:v>44651</x:v>
      </x:c>
      <x:c r="B39" t="n">
        <x:v>2022</x:v>
      </x:c>
      <x:c r="C39" t="str">
        <x:v>31.03</x:v>
      </x:c>
      <x:c r="D39" t="str">
        <x:v>DLF og DP ret</x:v>
      </x:c>
      <x:c r="E39" s="26" t="n">
        <x:v>51</x:v>
      </x:c>
      <x:c r="F39" s="32" t="b">
        <x:v>0</x:v>
      </x:c>
    </x:row>
    <x:row r="40">
      <x:c r="A40" s="38" t="n">
        <x:v>44651</x:v>
      </x:c>
      <x:c r="B40" t="n">
        <x:v>2022</x:v>
      </x:c>
      <x:c r="C40" t="str">
        <x:v>31.03</x:v>
      </x:c>
      <x:c r="D40" t="str">
        <x:v>Med løntilskud</x:v>
      </x:c>
      <x:c r="E40" s="26" t="n">
        <x:v>18</x:v>
      </x:c>
      <x:c r="F40" s="32" t="b">
        <x:v>0</x:v>
      </x:c>
    </x:row>
    <x:row r="41">
      <x:c r="A41" s="38" t="n">
        <x:v>44651</x:v>
      </x:c>
      <x:c r="B41" t="n">
        <x:v>2022</x:v>
      </x:c>
      <x:c r="C41" t="str">
        <x:v>31.03</x:v>
      </x:c>
      <x:c r="D41" t="str">
        <x:v>Pensionist DP</x:v>
      </x:c>
      <x:c r="E41" s="26" t="n">
        <x:v>12</x:v>
      </x:c>
      <x:c r="F41" s="32" t="b">
        <x:v>0</x:v>
      </x:c>
    </x:row>
    <x:row r="42">
      <x:c r="A42" s="38" t="n">
        <x:v>44651</x:v>
      </x:c>
      <x:c r="B42" t="n">
        <x:v>2022</x:v>
      </x:c>
      <x:c r="C42" t="str">
        <x:v>31.03</x:v>
      </x:c>
      <x:c r="D42" t="str">
        <x:v>DM1 Mag. art.</x:v>
      </x:c>
      <x:c r="E42" s="26" t="n">
        <x:v>9</x:v>
      </x:c>
      <x:c r="F42" s="32" t="b">
        <x:v>0</x:v>
      </x:c>
    </x:row>
    <x:row r="43">
      <x:c r="A43" s="38" t="n">
        <x:v>44651</x:v>
      </x:c>
      <x:c r="B43" t="n">
        <x:v>2022</x:v>
      </x:c>
      <x:c r="C43" t="str">
        <x:v>31.03</x:v>
      </x:c>
      <x:c r="D43" t="str">
        <x:v>Æresmedlem</x:v>
      </x:c>
      <x:c r="E43" s="26" t="n">
        <x:v>10</x:v>
      </x:c>
      <x:c r="F43" s="32" t="b">
        <x:v>0</x:v>
      </x:c>
    </x:row>
    <x:row r="44">
      <x:c r="A44" s="38" t="n">
        <x:v>44651</x:v>
      </x:c>
      <x:c r="B44" t="n">
        <x:v>2022</x:v>
      </x:c>
      <x:c r="C44" t="str">
        <x:v>31.03</x:v>
      </x:c>
      <x:c r="D44" t="str">
        <x:v>DP medlem</x:v>
      </x:c>
      <x:c r="E44" s="26" t="n">
        <x:v>1</x:v>
      </x:c>
      <x:c r="F44" s="32" t="b">
        <x:v>0</x:v>
      </x:c>
    </x:row>
    <x:row r="45">
      <x:c r="A45" s="38" t="n">
        <x:v>44651</x:v>
      </x:c>
      <x:c r="B45" t="n">
        <x:v>2022</x:v>
      </x:c>
      <x:c r="C45" t="str">
        <x:v>31.03</x:v>
      </x:c>
      <x:c r="D45" t="str">
        <x:v>Alle medlemmer</x:v>
      </x:c>
      <x:c r="E45" s="26" t="n">
        <x:v>11717</x:v>
      </x:c>
      <x:c r="F45" s="32" t="b">
        <x:v>1</x:v>
      </x:c>
    </x:row>
    <x:row r="46">
      <x:c r="A46" s="38" t="n">
        <x:v>44742</x:v>
      </x:c>
      <x:c r="B46" t="n">
        <x:v>2022</x:v>
      </x:c>
      <x:c r="C46" t="str">
        <x:v>30.06</x:v>
      </x:c>
      <x:c r="D46" t="str">
        <x:v>Normaltansat over 19 timer</x:v>
      </x:c>
      <x:c r="E46" s="26" t="n">
        <x:v>5224</x:v>
      </x:c>
      <x:c r="F46" s="32" t="b">
        <x:v>0</x:v>
      </x:c>
    </x:row>
    <x:row r="47">
      <x:c r="A47" s="38" t="n">
        <x:v>44742</x:v>
      </x:c>
      <x:c r="B47" t="n">
        <x:v>2022</x:v>
      </x:c>
      <x:c r="C47" t="str">
        <x:v>30.06</x:v>
      </x:c>
      <x:c r="D47" t="str">
        <x:v>Psykologistuderende</x:v>
      </x:c>
      <x:c r="E47" s="26" t="n">
        <x:v>286</x:v>
      </x:c>
      <x:c r="F47" s="32" t="b">
        <x:v>0</x:v>
      </x:c>
    </x:row>
    <x:row r="48">
      <x:c r="A48" s="38" t="n">
        <x:v>44742</x:v>
      </x:c>
      <x:c r="B48" t="n">
        <x:v>2022</x:v>
      </x:c>
      <x:c r="C48" t="str">
        <x:v>30.06</x:v>
      </x:c>
      <x:c r="D48" t="str">
        <x:v>Pensionist DP - Udland</x:v>
      </x:c>
      <x:c r="E48" s="26" t="n">
        <x:v>1083</x:v>
      </x:c>
      <x:c r="F48" s="32" t="b">
        <x:v>0</x:v>
      </x:c>
    </x:row>
    <x:row r="49">
      <x:c r="A49" s="38" t="n">
        <x:v>44742</x:v>
      </x:c>
      <x:c r="B49" t="n">
        <x:v>2022</x:v>
      </x:c>
      <x:c r="C49" t="str">
        <x:v>30.06</x:v>
      </x:c>
      <x:c r="D49" t="str">
        <x:v>Ledig DP</x:v>
      </x:c>
      <x:c r="E49" s="26" t="n">
        <x:v>381</x:v>
      </x:c>
      <x:c r="F49" s="32" t="b">
        <x:v>0</x:v>
      </x:c>
    </x:row>
    <x:row r="50">
      <x:c r="A50" s="38" t="n">
        <x:v>44742</x:v>
      </x:c>
      <x:c r="B50" t="n">
        <x:v>2022</x:v>
      </x:c>
      <x:c r="C50" t="str">
        <x:v>30.06</x:v>
      </x:c>
      <x:c r="D50" t="str">
        <x:v>1 og 2 års Kandidater</x:v>
      </x:c>
      <x:c r="E50" s="26" t="n">
        <x:v>527</x:v>
      </x:c>
      <x:c r="F50" s="32" t="b">
        <x:v>0</x:v>
      </x:c>
    </x:row>
    <x:row r="51">
      <x:c r="A51" s="38" t="n">
        <x:v>44742</x:v>
      </x:c>
      <x:c r="B51" t="n">
        <x:v>2022</x:v>
      </x:c>
      <x:c r="C51" t="str">
        <x:v>30.06</x:v>
      </x:c>
      <x:c r="D51" t="str">
        <x:v>Selvstændig</x:v>
      </x:c>
      <x:c r="E51" s="26" t="n">
        <x:v>2257</x:v>
      </x:c>
      <x:c r="F51" s="32" t="b">
        <x:v>0</x:v>
      </x:c>
    </x:row>
    <x:row r="52">
      <x:c r="A52" s="38" t="n">
        <x:v>44742</x:v>
      </x:c>
      <x:c r="B52" t="n">
        <x:v>2022</x:v>
      </x:c>
      <x:c r="C52" t="str">
        <x:v>30.06</x:v>
      </x:c>
      <x:c r="D52" t="str">
        <x:v>Studerende DP</x:v>
      </x:c>
      <x:c r="E52" s="26" t="n">
        <x:v>1256</x:v>
      </x:c>
      <x:c r="F52" s="32" t="b">
        <x:v>0</x:v>
      </x:c>
    </x:row>
    <x:row r="53">
      <x:c r="A53" s="38" t="n">
        <x:v>44742</x:v>
      </x:c>
      <x:c r="B53" t="n">
        <x:v>2022</x:v>
      </x:c>
      <x:c r="C53" t="str">
        <x:v>30.06</x:v>
      </x:c>
      <x:c r="D53" t="str">
        <x:v>Ph.d. studerende</x:v>
      </x:c>
      <x:c r="E53" s="26" t="n">
        <x:v>55</x:v>
      </x:c>
      <x:c r="F53" s="32" t="b">
        <x:v>0</x:v>
      </x:c>
    </x:row>
    <x:row r="54">
      <x:c r="A54" s="38" t="n">
        <x:v>44742</x:v>
      </x:c>
      <x:c r="B54" t="n">
        <x:v>2022</x:v>
      </x:c>
      <x:c r="C54" t="str">
        <x:v>30.06</x:v>
      </x:c>
      <x:c r="D54" t="str">
        <x:v>Orlov uden løn DP</x:v>
      </x:c>
      <x:c r="E54" s="26" t="n">
        <x:v>104</x:v>
      </x:c>
      <x:c r="F54" s="32" t="b">
        <x:v>0</x:v>
      </x:c>
    </x:row>
    <x:row r="55">
      <x:c r="A55" s="38" t="n">
        <x:v>44742</x:v>
      </x:c>
      <x:c r="B55" t="n">
        <x:v>2022</x:v>
      </x:c>
      <x:c r="C55" t="str">
        <x:v>30.06</x:v>
      </x:c>
      <x:c r="D55" t="str">
        <x:v>Udland DP</x:v>
      </x:c>
      <x:c r="E55" s="26" t="n">
        <x:v>67</x:v>
      </x:c>
      <x:c r="F55" s="32" t="b">
        <x:v>0</x:v>
      </x:c>
    </x:row>
    <x:row r="56">
      <x:c r="A56" s="38" t="n">
        <x:v>44742</x:v>
      </x:c>
      <x:c r="B56" t="n">
        <x:v>2022</x:v>
      </x:c>
      <x:c r="C56" t="str">
        <x:v>30.06</x:v>
      </x:c>
      <x:c r="D56" t="str">
        <x:v>Anden forhandlingsret</x:v>
      </x:c>
      <x:c r="E56" s="26" t="n">
        <x:v>29</x:v>
      </x:c>
      <x:c r="F56" s="32" t="b">
        <x:v>0</x:v>
      </x:c>
    </x:row>
    <x:row r="57">
      <x:c r="A57" s="38" t="n">
        <x:v>44742</x:v>
      </x:c>
      <x:c r="B57" t="n">
        <x:v>2022</x:v>
      </x:c>
      <x:c r="C57" t="str">
        <x:v>30.06</x:v>
      </x:c>
      <x:c r="D57" t="str">
        <x:v>Efterløn DP</x:v>
      </x:c>
      <x:c r="E57" s="26" t="n">
        <x:v>25</x:v>
      </x:c>
      <x:c r="F57" s="32" t="b">
        <x:v>0</x:v>
      </x:c>
    </x:row>
    <x:row r="58">
      <x:c r="A58" s="38" t="n">
        <x:v>44742</x:v>
      </x:c>
      <x:c r="B58" t="n">
        <x:v>2022</x:v>
      </x:c>
      <x:c r="C58" t="str">
        <x:v>30.06</x:v>
      </x:c>
      <x:c r="D58" t="str">
        <x:v>DLF og DLF ret</x:v>
      </x:c>
      <x:c r="E58" s="26" t="n">
        <x:v>150</x:v>
      </x:c>
      <x:c r="F58" s="32" t="b">
        <x:v>0</x:v>
      </x:c>
    </x:row>
    <x:row r="59">
      <x:c r="A59" s="38" t="n">
        <x:v>44742</x:v>
      </x:c>
      <x:c r="B59" t="n">
        <x:v>2022</x:v>
      </x:c>
      <x:c r="C59" t="str">
        <x:v>30.06</x:v>
      </x:c>
      <x:c r="D59" t="str">
        <x:v>Ledig ikke ret til dagpenge</x:v>
      </x:c>
      <x:c r="E59" s="26" t="n">
        <x:v>37</x:v>
      </x:c>
      <x:c r="F59" s="32" t="b">
        <x:v>0</x:v>
      </x:c>
    </x:row>
    <x:row r="60">
      <x:c r="A60" s="38" t="n">
        <x:v>44742</x:v>
      </x:c>
      <x:c r="B60" t="n">
        <x:v>2022</x:v>
      </x:c>
      <x:c r="C60" t="str">
        <x:v>30.06</x:v>
      </x:c>
      <x:c r="D60" t="str">
        <x:v>Normaltansat under 20 timer</x:v>
      </x:c>
      <x:c r="E60" s="26" t="n">
        <x:v>117</x:v>
      </x:c>
      <x:c r="F60" s="32" t="b">
        <x:v>0</x:v>
      </x:c>
    </x:row>
    <x:row r="61">
      <x:c r="A61" s="38" t="n">
        <x:v>44742</x:v>
      </x:c>
      <x:c r="B61" t="n">
        <x:v>2022</x:v>
      </x:c>
      <x:c r="C61" t="str">
        <x:v>30.06</x:v>
      </x:c>
      <x:c r="D61" t="str">
        <x:v>DLF og DP ret</x:v>
      </x:c>
      <x:c r="E61" s="26" t="n">
        <x:v>51</x:v>
      </x:c>
      <x:c r="F61" s="32" t="b">
        <x:v>0</x:v>
      </x:c>
    </x:row>
    <x:row r="62">
      <x:c r="A62" s="38" t="n">
        <x:v>44742</x:v>
      </x:c>
      <x:c r="B62" t="n">
        <x:v>2022</x:v>
      </x:c>
      <x:c r="C62" t="str">
        <x:v>30.06</x:v>
      </x:c>
      <x:c r="D62" t="str">
        <x:v>Med løntilskud</x:v>
      </x:c>
      <x:c r="E62" s="26" t="n">
        <x:v>18</x:v>
      </x:c>
      <x:c r="F62" s="32" t="b">
        <x:v>0</x:v>
      </x:c>
    </x:row>
    <x:row r="63">
      <x:c r="A63" s="38" t="n">
        <x:v>44742</x:v>
      </x:c>
      <x:c r="B63" t="n">
        <x:v>2022</x:v>
      </x:c>
      <x:c r="C63" t="str">
        <x:v>30.06</x:v>
      </x:c>
      <x:c r="D63" t="str">
        <x:v>Pensionist DP</x:v>
      </x:c>
      <x:c r="E63" s="26" t="n">
        <x:v>12</x:v>
      </x:c>
      <x:c r="F63" s="32" t="b">
        <x:v>0</x:v>
      </x:c>
    </x:row>
    <x:row r="64">
      <x:c r="A64" s="38" t="n">
        <x:v>44742</x:v>
      </x:c>
      <x:c r="B64" t="n">
        <x:v>2022</x:v>
      </x:c>
      <x:c r="C64" t="str">
        <x:v>30.06</x:v>
      </x:c>
      <x:c r="D64" t="str">
        <x:v>DM1 Mag. art.</x:v>
      </x:c>
      <x:c r="E64" s="26" t="n">
        <x:v>9</x:v>
      </x:c>
      <x:c r="F64" s="32" t="b">
        <x:v>0</x:v>
      </x:c>
    </x:row>
    <x:row r="65">
      <x:c r="A65" s="38" t="n">
        <x:v>44742</x:v>
      </x:c>
      <x:c r="B65" t="n">
        <x:v>2022</x:v>
      </x:c>
      <x:c r="C65" t="str">
        <x:v>30.06</x:v>
      </x:c>
      <x:c r="D65" t="str">
        <x:v>Æresmedlem</x:v>
      </x:c>
      <x:c r="E65" s="26" t="n">
        <x:v>10</x:v>
      </x:c>
      <x:c r="F65" s="32" t="b">
        <x:v>0</x:v>
      </x:c>
    </x:row>
    <x:row r="66">
      <x:c r="A66" s="38" t="n">
        <x:v>44742</x:v>
      </x:c>
      <x:c r="B66" t="n">
        <x:v>2022</x:v>
      </x:c>
      <x:c r="C66" t="str">
        <x:v>30.06</x:v>
      </x:c>
      <x:c r="D66" t="str">
        <x:v>DP medlem</x:v>
      </x:c>
      <x:c r="E66" s="26" t="n">
        <x:v>1</x:v>
      </x:c>
      <x:c r="F66" s="32" t="b">
        <x:v>0</x:v>
      </x:c>
    </x:row>
    <x:row r="67">
      <x:c r="A67" s="38" t="n">
        <x:v>44742</x:v>
      </x:c>
      <x:c r="B67" t="n">
        <x:v>2022</x:v>
      </x:c>
      <x:c r="C67" t="str">
        <x:v>30.06</x:v>
      </x:c>
      <x:c r="D67" t="str">
        <x:v>Alle medlemmer</x:v>
      </x:c>
      <x:c r="E67" s="26" t="n">
        <x:v>11699</x:v>
      </x:c>
      <x:c r="F67" s="32" t="b">
        <x:v>1</x:v>
      </x:c>
    </x:row>
    <x:row r="68">
      <x:c r="A68" s="38" t="n">
        <x:v>44834</x:v>
      </x:c>
      <x:c r="B68" t="n">
        <x:v>2022</x:v>
      </x:c>
      <x:c r="C68" t="str">
        <x:v>30.09</x:v>
      </x:c>
      <x:c r="D68" t="str">
        <x:v>Normaltansat over 19 timer</x:v>
      </x:c>
      <x:c r="E68" s="26" t="n">
        <x:v>5305</x:v>
      </x:c>
      <x:c r="F68" s="32" t="b">
        <x:v>0</x:v>
      </x:c>
    </x:row>
    <x:row r="69">
      <x:c r="A69" s="38" t="n">
        <x:v>44834</x:v>
      </x:c>
      <x:c r="B69" t="n">
        <x:v>2022</x:v>
      </x:c>
      <x:c r="C69" t="str">
        <x:v>30.09</x:v>
      </x:c>
      <x:c r="D69" t="str">
        <x:v>Psykologistuderende</x:v>
      </x:c>
      <x:c r="E69" s="26" t="n">
        <x:v>60</x:v>
      </x:c>
      <x:c r="F69" s="32" t="b">
        <x:v>0</x:v>
      </x:c>
    </x:row>
    <x:row r="70">
      <x:c r="A70" s="38" t="n">
        <x:v>44834</x:v>
      </x:c>
      <x:c r="B70" t="n">
        <x:v>2022</x:v>
      </x:c>
      <x:c r="C70" t="str">
        <x:v>30.09</x:v>
      </x:c>
      <x:c r="D70" t="str">
        <x:v>Pensionist DP - Udland</x:v>
      </x:c>
      <x:c r="E70" s="26" t="n">
        <x:v>1084</x:v>
      </x:c>
      <x:c r="F70" s="32" t="b">
        <x:v>0</x:v>
      </x:c>
    </x:row>
    <x:row r="71">
      <x:c r="A71" s="38" t="n">
        <x:v>44834</x:v>
      </x:c>
      <x:c r="B71" t="n">
        <x:v>2022</x:v>
      </x:c>
      <x:c r="C71" t="str">
        <x:v>30.09</x:v>
      </x:c>
      <x:c r="D71" t="str">
        <x:v>Ledig DP</x:v>
      </x:c>
      <x:c r="E71" s="26" t="n">
        <x:v>507</x:v>
      </x:c>
      <x:c r="F71" s="32" t="b">
        <x:v>0</x:v>
      </x:c>
    </x:row>
    <x:row r="72">
      <x:c r="A72" s="38" t="n">
        <x:v>44834</x:v>
      </x:c>
      <x:c r="B72" t="n">
        <x:v>2022</x:v>
      </x:c>
      <x:c r="C72" t="str">
        <x:v>30.09</x:v>
      </x:c>
      <x:c r="D72" t="str">
        <x:v>1 og 2 års Kandidater</x:v>
      </x:c>
      <x:c r="E72" s="26" t="n">
        <x:v>519</x:v>
      </x:c>
      <x:c r="F72" s="32" t="b">
        <x:v>0</x:v>
      </x:c>
    </x:row>
    <x:row r="73">
      <x:c r="A73" s="38" t="n">
        <x:v>44834</x:v>
      </x:c>
      <x:c r="B73" t="n">
        <x:v>2022</x:v>
      </x:c>
      <x:c r="C73" t="str">
        <x:v>30.09</x:v>
      </x:c>
      <x:c r="D73" t="str">
        <x:v>Selvstændig</x:v>
      </x:c>
      <x:c r="E73" s="26" t="n">
        <x:v>2292</x:v>
      </x:c>
      <x:c r="F73" s="32" t="b">
        <x:v>0</x:v>
      </x:c>
    </x:row>
    <x:row r="74">
      <x:c r="A74" s="38" t="n">
        <x:v>44834</x:v>
      </x:c>
      <x:c r="B74" t="n">
        <x:v>2022</x:v>
      </x:c>
      <x:c r="C74" t="str">
        <x:v>30.09</x:v>
      </x:c>
      <x:c r="D74" t="str">
        <x:v>Studerende DP</x:v>
      </x:c>
      <x:c r="E74" s="26" t="n">
        <x:v>1319</x:v>
      </x:c>
      <x:c r="F74" s="32" t="b">
        <x:v>0</x:v>
      </x:c>
    </x:row>
    <x:row r="75">
      <x:c r="A75" s="38" t="n">
        <x:v>44834</x:v>
      </x:c>
      <x:c r="B75" t="n">
        <x:v>2022</x:v>
      </x:c>
      <x:c r="C75" t="str">
        <x:v>30.09</x:v>
      </x:c>
      <x:c r="D75" t="str">
        <x:v>Ph.d. studerende</x:v>
      </x:c>
      <x:c r="E75" s="26" t="n">
        <x:v>54</x:v>
      </x:c>
      <x:c r="F75" s="32" t="b">
        <x:v>0</x:v>
      </x:c>
    </x:row>
    <x:row r="76">
      <x:c r="A76" s="38" t="n">
        <x:v>44834</x:v>
      </x:c>
      <x:c r="B76" t="n">
        <x:v>2022</x:v>
      </x:c>
      <x:c r="C76" t="str">
        <x:v>30.09</x:v>
      </x:c>
      <x:c r="D76" t="str">
        <x:v>Orlov uden løn DP</x:v>
      </x:c>
      <x:c r="E76" s="26" t="n">
        <x:v>97</x:v>
      </x:c>
      <x:c r="F76" s="32" t="b">
        <x:v>0</x:v>
      </x:c>
    </x:row>
    <x:row r="77">
      <x:c r="A77" s="38" t="n">
        <x:v>44834</x:v>
      </x:c>
      <x:c r="B77" t="n">
        <x:v>2022</x:v>
      </x:c>
      <x:c r="C77" t="str">
        <x:v>30.09</x:v>
      </x:c>
      <x:c r="D77" t="str">
        <x:v>Udland DP</x:v>
      </x:c>
      <x:c r="E77" s="26" t="n">
        <x:v>66</x:v>
      </x:c>
      <x:c r="F77" s="32" t="b">
        <x:v>0</x:v>
      </x:c>
    </x:row>
    <x:row r="78">
      <x:c r="A78" s="38" t="n">
        <x:v>44834</x:v>
      </x:c>
      <x:c r="B78" t="n">
        <x:v>2022</x:v>
      </x:c>
      <x:c r="C78" t="str">
        <x:v>30.09</x:v>
      </x:c>
      <x:c r="D78" t="str">
        <x:v>Anden forhandlingsret</x:v>
      </x:c>
      <x:c r="E78" s="26" t="n">
        <x:v>27</x:v>
      </x:c>
      <x:c r="F78" s="32" t="b">
        <x:v>0</x:v>
      </x:c>
    </x:row>
    <x:row r="79">
      <x:c r="A79" s="38" t="n">
        <x:v>44834</x:v>
      </x:c>
      <x:c r="B79" t="n">
        <x:v>2022</x:v>
      </x:c>
      <x:c r="C79" t="str">
        <x:v>30.09</x:v>
      </x:c>
      <x:c r="D79" t="str">
        <x:v>Efterløn DP</x:v>
      </x:c>
      <x:c r="E79" s="26" t="n">
        <x:v>26</x:v>
      </x:c>
      <x:c r="F79" s="32" t="b">
        <x:v>0</x:v>
      </x:c>
    </x:row>
    <x:row r="80">
      <x:c r="A80" s="38" t="n">
        <x:v>44834</x:v>
      </x:c>
      <x:c r="B80" t="n">
        <x:v>2022</x:v>
      </x:c>
      <x:c r="C80" t="str">
        <x:v>30.09</x:v>
      </x:c>
      <x:c r="D80" t="str">
        <x:v>DLF og DLF ret</x:v>
      </x:c>
      <x:c r="E80" s="26" t="n">
        <x:v>144</x:v>
      </x:c>
      <x:c r="F80" s="32" t="b">
        <x:v>0</x:v>
      </x:c>
    </x:row>
    <x:row r="81">
      <x:c r="A81" s="38" t="n">
        <x:v>44834</x:v>
      </x:c>
      <x:c r="B81" t="n">
        <x:v>2022</x:v>
      </x:c>
      <x:c r="C81" t="str">
        <x:v>30.09</x:v>
      </x:c>
      <x:c r="D81" t="str">
        <x:v>Ledig ikke ret til dagpenge</x:v>
      </x:c>
      <x:c r="E81" s="26" t="n">
        <x:v>35</x:v>
      </x:c>
      <x:c r="F81" s="32" t="b">
        <x:v>0</x:v>
      </x:c>
    </x:row>
    <x:row r="82">
      <x:c r="A82" s="38" t="n">
        <x:v>44834</x:v>
      </x:c>
      <x:c r="B82" t="n">
        <x:v>2022</x:v>
      </x:c>
      <x:c r="C82" t="str">
        <x:v>30.09</x:v>
      </x:c>
      <x:c r="D82" t="str">
        <x:v>Normaltansat under 20 timer</x:v>
      </x:c>
      <x:c r="E82" s="26" t="n">
        <x:v>121</x:v>
      </x:c>
      <x:c r="F82" s="32" t="b">
        <x:v>0</x:v>
      </x:c>
    </x:row>
    <x:row r="83">
      <x:c r="A83" s="38" t="n">
        <x:v>44834</x:v>
      </x:c>
      <x:c r="B83" t="n">
        <x:v>2022</x:v>
      </x:c>
      <x:c r="C83" t="str">
        <x:v>30.09</x:v>
      </x:c>
      <x:c r="D83" t="str">
        <x:v>DLF og DP ret</x:v>
      </x:c>
      <x:c r="E83" s="26" t="n">
        <x:v>50</x:v>
      </x:c>
      <x:c r="F83" s="32" t="b">
        <x:v>0</x:v>
      </x:c>
    </x:row>
    <x:row r="84">
      <x:c r="A84" s="38" t="n">
        <x:v>44834</x:v>
      </x:c>
      <x:c r="B84" t="n">
        <x:v>2022</x:v>
      </x:c>
      <x:c r="C84" t="str">
        <x:v>30.09</x:v>
      </x:c>
      <x:c r="D84" t="str">
        <x:v>Med løntilskud</x:v>
      </x:c>
      <x:c r="E84" s="26" t="n">
        <x:v>18</x:v>
      </x:c>
      <x:c r="F84" s="32" t="b">
        <x:v>0</x:v>
      </x:c>
    </x:row>
    <x:row r="85">
      <x:c r="A85" s="38" t="n">
        <x:v>44834</x:v>
      </x:c>
      <x:c r="B85" t="n">
        <x:v>2022</x:v>
      </x:c>
      <x:c r="C85" t="str">
        <x:v>30.09</x:v>
      </x:c>
      <x:c r="D85" t="str">
        <x:v>Pensionist DP</x:v>
      </x:c>
      <x:c r="E85" s="26" t="n">
        <x:v>12</x:v>
      </x:c>
      <x:c r="F85" s="32" t="b">
        <x:v>0</x:v>
      </x:c>
    </x:row>
    <x:row r="86">
      <x:c r="A86" s="38" t="n">
        <x:v>44834</x:v>
      </x:c>
      <x:c r="B86" t="n">
        <x:v>2022</x:v>
      </x:c>
      <x:c r="C86" t="str">
        <x:v>30.09</x:v>
      </x:c>
      <x:c r="D86" t="str">
        <x:v>DM1 Mag. art.</x:v>
      </x:c>
      <x:c r="E86" s="26" t="n">
        <x:v>9</x:v>
      </x:c>
      <x:c r="F86" s="32" t="b">
        <x:v>0</x:v>
      </x:c>
    </x:row>
    <x:row r="87">
      <x:c r="A87" s="38" t="n">
        <x:v>44834</x:v>
      </x:c>
      <x:c r="B87" t="n">
        <x:v>2022</x:v>
      </x:c>
      <x:c r="C87" t="str">
        <x:v>30.09</x:v>
      </x:c>
      <x:c r="D87" t="str">
        <x:v>Æresmedlem</x:v>
      </x:c>
      <x:c r="E87" s="26" t="n">
        <x:v>10</x:v>
      </x:c>
      <x:c r="F87" s="32" t="b">
        <x:v>0</x:v>
      </x:c>
    </x:row>
    <x:row r="88">
      <x:c r="A88" s="38" t="n">
        <x:v>44834</x:v>
      </x:c>
      <x:c r="B88" t="n">
        <x:v>2022</x:v>
      </x:c>
      <x:c r="C88" t="str">
        <x:v>30.09</x:v>
      </x:c>
      <x:c r="D88" t="str">
        <x:v>DP medlem</x:v>
      </x:c>
      <x:c r="E88" s="26" t="n">
        <x:v>0</x:v>
      </x:c>
      <x:c r="F88" s="32" t="b">
        <x:v>0</x:v>
      </x:c>
    </x:row>
    <x:row r="89">
      <x:c r="A89" s="38" t="n">
        <x:v>44834</x:v>
      </x:c>
      <x:c r="B89" t="n">
        <x:v>2022</x:v>
      </x:c>
      <x:c r="C89" t="str">
        <x:v>30.09</x:v>
      </x:c>
      <x:c r="D89" t="str">
        <x:v>Alle medlemmer</x:v>
      </x:c>
      <x:c r="E89" s="26" t="n">
        <x:v>11755</x:v>
      </x:c>
      <x:c r="F89" s="32" t="b">
        <x:v>1</x:v>
      </x:c>
    </x:row>
    <x:row r="90">
      <x:c r="A90" s="38" t="n">
        <x:v>44926</x:v>
      </x:c>
      <x:c r="B90" t="n">
        <x:v>2022</x:v>
      </x:c>
      <x:c r="C90" t="str">
        <x:v>31.12</x:v>
      </x:c>
      <x:c r="D90" t="str">
        <x:v>Normaltansat over 19 timer</x:v>
      </x:c>
      <x:c r="E90" s="26" t="n">
        <x:v>5238</x:v>
      </x:c>
      <x:c r="F90" s="32" t="b">
        <x:v>0</x:v>
      </x:c>
    </x:row>
    <x:row r="91">
      <x:c r="A91" s="38" t="n">
        <x:v>44926</x:v>
      </x:c>
      <x:c r="B91" t="n">
        <x:v>2022</x:v>
      </x:c>
      <x:c r="C91" t="str">
        <x:v>31.12</x:v>
      </x:c>
      <x:c r="D91" t="str">
        <x:v>Psykologistuderende</x:v>
      </x:c>
      <x:c r="E91" s="26" t="n">
        <x:v>13</x:v>
      </x:c>
      <x:c r="F91" s="32" t="b">
        <x:v>0</x:v>
      </x:c>
    </x:row>
    <x:row r="92">
      <x:c r="A92" s="38" t="n">
        <x:v>44926</x:v>
      </x:c>
      <x:c r="B92" t="n">
        <x:v>2022</x:v>
      </x:c>
      <x:c r="C92" t="str">
        <x:v>31.12</x:v>
      </x:c>
      <x:c r="D92" t="str">
        <x:v>Pensionist DP - Udland</x:v>
      </x:c>
      <x:c r="E92" s="26" t="n">
        <x:v>9</x:v>
      </x:c>
      <x:c r="F92" s="32" t="b">
        <x:v>0</x:v>
      </x:c>
    </x:row>
    <x:row r="93">
      <x:c r="A93" s="38" t="n">
        <x:v>44926</x:v>
      </x:c>
      <x:c r="B93" t="n">
        <x:v>2022</x:v>
      </x:c>
      <x:c r="C93" t="str">
        <x:v>31.12</x:v>
      </x:c>
      <x:c r="D93" t="str">
        <x:v>Ledig DP</x:v>
      </x:c>
      <x:c r="E93" s="26" t="n">
        <x:v>423</x:v>
      </x:c>
      <x:c r="F93" s="32" t="b">
        <x:v>0</x:v>
      </x:c>
    </x:row>
    <x:row r="94">
      <x:c r="A94" s="38" t="n">
        <x:v>44926</x:v>
      </x:c>
      <x:c r="B94" t="n">
        <x:v>2022</x:v>
      </x:c>
      <x:c r="C94" t="str">
        <x:v>31.12</x:v>
      </x:c>
      <x:c r="D94" t="str">
        <x:v>1 og 2 års Kandidater</x:v>
      </x:c>
      <x:c r="E94" s="26" t="n">
        <x:v>545</x:v>
      </x:c>
      <x:c r="F94" s="32" t="b">
        <x:v>0</x:v>
      </x:c>
    </x:row>
    <x:row r="95">
      <x:c r="A95" s="38" t="n">
        <x:v>44926</x:v>
      </x:c>
      <x:c r="B95" t="n">
        <x:v>2022</x:v>
      </x:c>
      <x:c r="C95" t="str">
        <x:v>31.12</x:v>
      </x:c>
      <x:c r="D95" t="str">
        <x:v>Selvstændig</x:v>
      </x:c>
      <x:c r="E95" s="26" t="n">
        <x:v>2312</x:v>
      </x:c>
      <x:c r="F95" s="32" t="b">
        <x:v>0</x:v>
      </x:c>
    </x:row>
    <x:row r="96">
      <x:c r="A96" s="38" t="n">
        <x:v>44926</x:v>
      </x:c>
      <x:c r="B96" t="n">
        <x:v>2022</x:v>
      </x:c>
      <x:c r="C96" t="str">
        <x:v>31.12</x:v>
      </x:c>
      <x:c r="D96" t="str">
        <x:v>Studerende DP</x:v>
      </x:c>
      <x:c r="E96" s="26" t="n">
        <x:v>1438</x:v>
      </x:c>
      <x:c r="F96" s="32" t="b">
        <x:v>0</x:v>
      </x:c>
    </x:row>
    <x:row r="97">
      <x:c r="A97" s="38" t="n">
        <x:v>44926</x:v>
      </x:c>
      <x:c r="B97" t="n">
        <x:v>2022</x:v>
      </x:c>
      <x:c r="C97" t="str">
        <x:v>31.12</x:v>
      </x:c>
      <x:c r="D97" t="str">
        <x:v>Ph.d. studerende</x:v>
      </x:c>
      <x:c r="E97" s="26" t="n">
        <x:v>53</x:v>
      </x:c>
      <x:c r="F97" s="32" t="b">
        <x:v>0</x:v>
      </x:c>
    </x:row>
    <x:row r="98">
      <x:c r="A98" s="38" t="n">
        <x:v>44926</x:v>
      </x:c>
      <x:c r="B98" t="n">
        <x:v>2022</x:v>
      </x:c>
      <x:c r="C98" t="str">
        <x:v>31.12</x:v>
      </x:c>
      <x:c r="D98" t="str">
        <x:v>Orlov uden løn DP</x:v>
      </x:c>
      <x:c r="E98" s="26" t="n">
        <x:v>96</x:v>
      </x:c>
      <x:c r="F98" s="32" t="b">
        <x:v>0</x:v>
      </x:c>
    </x:row>
    <x:row r="99">
      <x:c r="A99" s="38" t="n">
        <x:v>44926</x:v>
      </x:c>
      <x:c r="B99" t="n">
        <x:v>2022</x:v>
      </x:c>
      <x:c r="C99" t="str">
        <x:v>31.12</x:v>
      </x:c>
      <x:c r="D99" t="str">
        <x:v>Udland DP</x:v>
      </x:c>
      <x:c r="E99" s="26" t="n">
        <x:v>60</x:v>
      </x:c>
      <x:c r="F99" s="32" t="b">
        <x:v>0</x:v>
      </x:c>
    </x:row>
    <x:row r="100">
      <x:c r="A100" s="38" t="n">
        <x:v>44926</x:v>
      </x:c>
      <x:c r="B100" t="n">
        <x:v>2022</x:v>
      </x:c>
      <x:c r="C100" t="str">
        <x:v>31.12</x:v>
      </x:c>
      <x:c r="D100" t="str">
        <x:v>Anden forhandlingsret</x:v>
      </x:c>
      <x:c r="E100" s="26" t="n">
        <x:v>29</x:v>
      </x:c>
      <x:c r="F100" s="32" t="b">
        <x:v>0</x:v>
      </x:c>
    </x:row>
    <x:row r="101">
      <x:c r="A101" s="38" t="n">
        <x:v>44926</x:v>
      </x:c>
      <x:c r="B101" t="n">
        <x:v>2022</x:v>
      </x:c>
      <x:c r="C101" t="str">
        <x:v>31.12</x:v>
      </x:c>
      <x:c r="D101" t="str">
        <x:v>Efterløn DP</x:v>
      </x:c>
      <x:c r="E101" s="26" t="n">
        <x:v>25</x:v>
      </x:c>
      <x:c r="F101" s="32" t="b">
        <x:v>0</x:v>
      </x:c>
    </x:row>
    <x:row r="102">
      <x:c r="A102" s="38" t="n">
        <x:v>44926</x:v>
      </x:c>
      <x:c r="B102" t="n">
        <x:v>2022</x:v>
      </x:c>
      <x:c r="C102" t="str">
        <x:v>31.12</x:v>
      </x:c>
      <x:c r="D102" t="str">
        <x:v>DLF og DLF ret</x:v>
      </x:c>
      <x:c r="E102" s="26" t="n">
        <x:v>138</x:v>
      </x:c>
      <x:c r="F102" s="32" t="b">
        <x:v>0</x:v>
      </x:c>
    </x:row>
    <x:row r="103">
      <x:c r="A103" s="38" t="n">
        <x:v>44926</x:v>
      </x:c>
      <x:c r="B103" t="n">
        <x:v>2022</x:v>
      </x:c>
      <x:c r="C103" t="str">
        <x:v>31.12</x:v>
      </x:c>
      <x:c r="D103" t="str">
        <x:v>Ledig ikke ret til dagpenge</x:v>
      </x:c>
      <x:c r="E103" s="26" t="n">
        <x:v>32</x:v>
      </x:c>
      <x:c r="F103" s="32" t="b">
        <x:v>0</x:v>
      </x:c>
    </x:row>
    <x:row r="104">
      <x:c r="A104" s="38" t="n">
        <x:v>44926</x:v>
      </x:c>
      <x:c r="B104" t="n">
        <x:v>2022</x:v>
      </x:c>
      <x:c r="C104" t="str">
        <x:v>31.12</x:v>
      </x:c>
      <x:c r="D104" t="str">
        <x:v>Normaltansat under 20 timer</x:v>
      </x:c>
      <x:c r="E104" s="26" t="n">
        <x:v>132</x:v>
      </x:c>
      <x:c r="F104" s="32" t="b">
        <x:v>0</x:v>
      </x:c>
    </x:row>
    <x:row r="105">
      <x:c r="A105" s="38" t="n">
        <x:v>44926</x:v>
      </x:c>
      <x:c r="B105" t="n">
        <x:v>2022</x:v>
      </x:c>
      <x:c r="C105" t="str">
        <x:v>31.12</x:v>
      </x:c>
      <x:c r="D105" t="str">
        <x:v>DLF og DP ret</x:v>
      </x:c>
      <x:c r="E105" s="26" t="n">
        <x:v>50</x:v>
      </x:c>
      <x:c r="F105" s="32" t="b">
        <x:v>0</x:v>
      </x:c>
    </x:row>
    <x:row r="106">
      <x:c r="A106" s="38" t="n">
        <x:v>44926</x:v>
      </x:c>
      <x:c r="B106" t="n">
        <x:v>2022</x:v>
      </x:c>
      <x:c r="C106" t="str">
        <x:v>31.12</x:v>
      </x:c>
      <x:c r="D106" t="str">
        <x:v>Med løntilskud</x:v>
      </x:c>
      <x:c r="E106" s="26" t="n">
        <x:v>18</x:v>
      </x:c>
      <x:c r="F106" s="32" t="b">
        <x:v>0</x:v>
      </x:c>
    </x:row>
    <x:row r="107">
      <x:c r="A107" s="38" t="n">
        <x:v>44926</x:v>
      </x:c>
      <x:c r="B107" t="n">
        <x:v>2022</x:v>
      </x:c>
      <x:c r="C107" t="str">
        <x:v>31.12</x:v>
      </x:c>
      <x:c r="D107" t="str">
        <x:v>Pensionist DP</x:v>
      </x:c>
      <x:c r="E107" s="26" t="n">
        <x:v>1086</x:v>
      </x:c>
      <x:c r="F107" s="32" t="b">
        <x:v>0</x:v>
      </x:c>
    </x:row>
    <x:row r="108">
      <x:c r="A108" s="38" t="n">
        <x:v>44926</x:v>
      </x:c>
      <x:c r="B108" t="n">
        <x:v>2022</x:v>
      </x:c>
      <x:c r="C108" t="str">
        <x:v>31.12</x:v>
      </x:c>
      <x:c r="D108" t="str">
        <x:v>DM1 Mag. art.</x:v>
      </x:c>
      <x:c r="E108" s="26" t="n">
        <x:v>9</x:v>
      </x:c>
      <x:c r="F108" s="32" t="b">
        <x:v>0</x:v>
      </x:c>
    </x:row>
    <x:row r="109">
      <x:c r="A109" s="38" t="n">
        <x:v>44926</x:v>
      </x:c>
      <x:c r="B109" t="n">
        <x:v>2022</x:v>
      </x:c>
      <x:c r="C109" t="str">
        <x:v>31.12</x:v>
      </x:c>
      <x:c r="D109" t="str">
        <x:v>Æresmedlem</x:v>
      </x:c>
      <x:c r="E109" s="26" t="n">
        <x:v>9</x:v>
      </x:c>
      <x:c r="F109" s="32" t="b">
        <x:v>0</x:v>
      </x:c>
    </x:row>
    <x:row r="110">
      <x:c r="A110" s="38" t="n">
        <x:v>44926</x:v>
      </x:c>
      <x:c r="B110" t="n">
        <x:v>2022</x:v>
      </x:c>
      <x:c r="C110" t="str">
        <x:v>31.12</x:v>
      </x:c>
      <x:c r="D110" t="str">
        <x:v>DP medlem</x:v>
      </x:c>
      <x:c r="E110" s="26" t="n">
        <x:v>0</x:v>
      </x:c>
      <x:c r="F110" s="32" t="b">
        <x:v>0</x:v>
      </x:c>
    </x:row>
    <x:row r="111">
      <x:c r="A111" s="38" t="n">
        <x:v>44926</x:v>
      </x:c>
      <x:c r="B111" t="n">
        <x:v>2022</x:v>
      </x:c>
      <x:c r="C111" t="str">
        <x:v>31.12</x:v>
      </x:c>
      <x:c r="D111" t="str">
        <x:v>Alle medlemmer</x:v>
      </x:c>
      <x:c r="E111" s="26" t="n">
        <x:v>11715</x:v>
      </x:c>
      <x:c r="F111" s="32" t="b">
        <x:v>1</x:v>
      </x:c>
    </x:row>
    <x:row r="112">
      <x:c r="A112" s="38" t="n">
        <x:v>44957</x:v>
      </x:c>
      <x:c r="B112" t="n">
        <x:v>2023</x:v>
      </x:c>
      <x:c r="C112" t="str">
        <x:v>31.01</x:v>
      </x:c>
      <x:c r="D112" t="str">
        <x:v>Normaltansat over 19 timer</x:v>
      </x:c>
      <x:c r="E112" s="26" t="n">
        <x:v>5204</x:v>
      </x:c>
      <x:c r="F112" s="32" t="b">
        <x:v>0</x:v>
      </x:c>
    </x:row>
    <x:row r="113">
      <x:c r="A113" s="38" t="n">
        <x:v>44957</x:v>
      </x:c>
      <x:c r="B113" t="n">
        <x:v>2023</x:v>
      </x:c>
      <x:c r="C113" t="str">
        <x:v>31.01</x:v>
      </x:c>
      <x:c r="D113" t="str">
        <x:v>Psykologistuderende</x:v>
      </x:c>
      <x:c r="E113" s="26" t="n">
        <x:v>0</x:v>
      </x:c>
      <x:c r="F113" s="32" t="b">
        <x:v>0</x:v>
      </x:c>
    </x:row>
    <x:row r="114">
      <x:c r="A114" s="38" t="n">
        <x:v>44957</x:v>
      </x:c>
      <x:c r="B114" t="n">
        <x:v>2023</x:v>
      </x:c>
      <x:c r="C114" t="str">
        <x:v>31.01</x:v>
      </x:c>
      <x:c r="D114" t="str">
        <x:v>Pensionist DP - Udland</x:v>
      </x:c>
      <x:c r="E114" s="26" t="n">
        <x:v>9</x:v>
      </x:c>
      <x:c r="F114" s="32" t="b">
        <x:v>0</x:v>
      </x:c>
    </x:row>
    <x:row r="115">
      <x:c r="A115" s="38" t="n">
        <x:v>44957</x:v>
      </x:c>
      <x:c r="B115" t="n">
        <x:v>2023</x:v>
      </x:c>
      <x:c r="C115" t="str">
        <x:v>31.01</x:v>
      </x:c>
      <x:c r="D115" t="str">
        <x:v>Ledig DP</x:v>
      </x:c>
      <x:c r="E115" s="26" t="n">
        <x:v>403</x:v>
      </x:c>
      <x:c r="F115" s="32" t="b">
        <x:v>0</x:v>
      </x:c>
    </x:row>
    <x:row r="116">
      <x:c r="A116" s="38" t="n">
        <x:v>44957</x:v>
      </x:c>
      <x:c r="B116" t="n">
        <x:v>2023</x:v>
      </x:c>
      <x:c r="C116" t="str">
        <x:v>31.01</x:v>
      </x:c>
      <x:c r="D116" t="str">
        <x:v>1 og 2 års Kandidater</x:v>
      </x:c>
      <x:c r="E116" s="26" t="n">
        <x:v>582</x:v>
      </x:c>
      <x:c r="F116" s="32" t="b">
        <x:v>0</x:v>
      </x:c>
    </x:row>
    <x:row r="117">
      <x:c r="A117" s="38" t="n">
        <x:v>44957</x:v>
      </x:c>
      <x:c r="B117" t="n">
        <x:v>2023</x:v>
      </x:c>
      <x:c r="C117" t="str">
        <x:v>31.01</x:v>
      </x:c>
      <x:c r="D117" t="str">
        <x:v>Selvstændig</x:v>
      </x:c>
      <x:c r="E117" s="26" t="n">
        <x:v>2310</x:v>
      </x:c>
      <x:c r="F117" s="32" t="b">
        <x:v>0</x:v>
      </x:c>
    </x:row>
    <x:row r="118">
      <x:c r="A118" s="38" t="n">
        <x:v>44957</x:v>
      </x:c>
      <x:c r="B118" t="n">
        <x:v>2023</x:v>
      </x:c>
      <x:c r="C118" t="str">
        <x:v>31.01</x:v>
      </x:c>
      <x:c r="D118" t="str">
        <x:v>Studerende DP</x:v>
      </x:c>
      <x:c r="E118" s="26" t="n">
        <x:v>1431</x:v>
      </x:c>
      <x:c r="F118" s="32" t="b">
        <x:v>0</x:v>
      </x:c>
    </x:row>
    <x:row r="119">
      <x:c r="A119" s="38" t="n">
        <x:v>44957</x:v>
      </x:c>
      <x:c r="B119" t="n">
        <x:v>2023</x:v>
      </x:c>
      <x:c r="C119" t="str">
        <x:v>31.01</x:v>
      </x:c>
      <x:c r="D119" t="str">
        <x:v>Ph.d. studerende</x:v>
      </x:c>
      <x:c r="E119" s="26" t="n">
        <x:v>51</x:v>
      </x:c>
      <x:c r="F119" s="32" t="b">
        <x:v>0</x:v>
      </x:c>
    </x:row>
    <x:row r="120">
      <x:c r="A120" s="38" t="n">
        <x:v>44957</x:v>
      </x:c>
      <x:c r="B120" t="n">
        <x:v>2023</x:v>
      </x:c>
      <x:c r="C120" t="str">
        <x:v>31.01</x:v>
      </x:c>
      <x:c r="D120" t="str">
        <x:v>Orlov uden løn DP</x:v>
      </x:c>
      <x:c r="E120" s="26" t="n">
        <x:v>121</x:v>
      </x:c>
      <x:c r="F120" s="32" t="b">
        <x:v>0</x:v>
      </x:c>
    </x:row>
    <x:row r="121">
      <x:c r="A121" s="38" t="n">
        <x:v>44957</x:v>
      </x:c>
      <x:c r="B121" t="n">
        <x:v>2023</x:v>
      </x:c>
      <x:c r="C121" t="str">
        <x:v>31.01</x:v>
      </x:c>
      <x:c r="D121" t="str">
        <x:v>Udland DP</x:v>
      </x:c>
      <x:c r="E121" s="26" t="n">
        <x:v>60</x:v>
      </x:c>
      <x:c r="F121" s="32" t="b">
        <x:v>0</x:v>
      </x:c>
    </x:row>
    <x:row r="122">
      <x:c r="A122" s="38" t="n">
        <x:v>44957</x:v>
      </x:c>
      <x:c r="B122" t="n">
        <x:v>2023</x:v>
      </x:c>
      <x:c r="C122" t="str">
        <x:v>31.01</x:v>
      </x:c>
      <x:c r="D122" t="str">
        <x:v>Anden forhandlingsret</x:v>
      </x:c>
      <x:c r="E122" s="26" t="n">
        <x:v>28</x:v>
      </x:c>
      <x:c r="F122" s="32" t="b">
        <x:v>0</x:v>
      </x:c>
    </x:row>
    <x:row r="123">
      <x:c r="A123" s="38" t="n">
        <x:v>44957</x:v>
      </x:c>
      <x:c r="B123" t="n">
        <x:v>2023</x:v>
      </x:c>
      <x:c r="C123" t="str">
        <x:v>31.01</x:v>
      </x:c>
      <x:c r="D123" t="str">
        <x:v>Efterløn DP</x:v>
      </x:c>
      <x:c r="E123" s="26" t="n">
        <x:v>26</x:v>
      </x:c>
      <x:c r="F123" s="32" t="b">
        <x:v>0</x:v>
      </x:c>
    </x:row>
    <x:row r="124">
      <x:c r="A124" s="38" t="n">
        <x:v>44957</x:v>
      </x:c>
      <x:c r="B124" t="n">
        <x:v>2023</x:v>
      </x:c>
      <x:c r="C124" t="str">
        <x:v>31.01</x:v>
      </x:c>
      <x:c r="D124" t="str">
        <x:v>DLF og DLF ret</x:v>
      </x:c>
      <x:c r="E124" s="26" t="n">
        <x:v>132</x:v>
      </x:c>
      <x:c r="F124" s="32" t="b">
        <x:v>0</x:v>
      </x:c>
    </x:row>
    <x:row r="125">
      <x:c r="A125" s="38" t="n">
        <x:v>44957</x:v>
      </x:c>
      <x:c r="B125" t="n">
        <x:v>2023</x:v>
      </x:c>
      <x:c r="C125" t="str">
        <x:v>31.01</x:v>
      </x:c>
      <x:c r="D125" t="str">
        <x:v>Ledig ikke ret til dagpenge</x:v>
      </x:c>
      <x:c r="E125" s="26" t="n">
        <x:v>36</x:v>
      </x:c>
      <x:c r="F125" s="32" t="b">
        <x:v>0</x:v>
      </x:c>
    </x:row>
    <x:row r="126">
      <x:c r="A126" s="38" t="n">
        <x:v>44957</x:v>
      </x:c>
      <x:c r="B126" t="n">
        <x:v>2023</x:v>
      </x:c>
      <x:c r="C126" t="str">
        <x:v>31.01</x:v>
      </x:c>
      <x:c r="D126" t="str">
        <x:v>Normaltansat under 20 timer</x:v>
      </x:c>
      <x:c r="E126" s="26" t="n">
        <x:v>128</x:v>
      </x:c>
      <x:c r="F126" s="32" t="b">
        <x:v>0</x:v>
      </x:c>
    </x:row>
    <x:row r="127">
      <x:c r="A127" s="38" t="n">
        <x:v>44957</x:v>
      </x:c>
      <x:c r="B127" t="n">
        <x:v>2023</x:v>
      </x:c>
      <x:c r="C127" t="str">
        <x:v>31.01</x:v>
      </x:c>
      <x:c r="D127" t="str">
        <x:v>DLF og DP ret</x:v>
      </x:c>
      <x:c r="E127" s="26" t="n">
        <x:v>46</x:v>
      </x:c>
      <x:c r="F127" s="32" t="b">
        <x:v>0</x:v>
      </x:c>
    </x:row>
    <x:row r="128">
      <x:c r="A128" s="38" t="n">
        <x:v>44957</x:v>
      </x:c>
      <x:c r="B128" t="n">
        <x:v>2023</x:v>
      </x:c>
      <x:c r="C128" t="str">
        <x:v>31.01</x:v>
      </x:c>
      <x:c r="D128" t="str">
        <x:v>Med løntilskud</x:v>
      </x:c>
      <x:c r="E128" s="26" t="n">
        <x:v>20</x:v>
      </x:c>
      <x:c r="F128" s="32" t="b">
        <x:v>0</x:v>
      </x:c>
    </x:row>
    <x:row r="129">
      <x:c r="A129" s="38" t="n">
        <x:v>44957</x:v>
      </x:c>
      <x:c r="B129" t="n">
        <x:v>2023</x:v>
      </x:c>
      <x:c r="C129" t="str">
        <x:v>31.01</x:v>
      </x:c>
      <x:c r="D129" t="str">
        <x:v>Pensionist DP</x:v>
      </x:c>
      <x:c r="E129" s="26" t="n">
        <x:v>1094</x:v>
      </x:c>
      <x:c r="F129" s="32" t="b">
        <x:v>0</x:v>
      </x:c>
    </x:row>
    <x:row r="130">
      <x:c r="A130" s="38" t="n">
        <x:v>44957</x:v>
      </x:c>
      <x:c r="B130" t="n">
        <x:v>2023</x:v>
      </x:c>
      <x:c r="C130" t="str">
        <x:v>31.01</x:v>
      </x:c>
      <x:c r="D130" t="str">
        <x:v>DM1 Mag. art.</x:v>
      </x:c>
      <x:c r="E130" s="26" t="n">
        <x:v>9</x:v>
      </x:c>
      <x:c r="F130" s="32" t="b">
        <x:v>0</x:v>
      </x:c>
    </x:row>
    <x:row r="131">
      <x:c r="A131" s="38" t="n">
        <x:v>44957</x:v>
      </x:c>
      <x:c r="B131" t="n">
        <x:v>2023</x:v>
      </x:c>
      <x:c r="C131" t="str">
        <x:v>31.01</x:v>
      </x:c>
      <x:c r="D131" t="str">
        <x:v>Æresmedlem</x:v>
      </x:c>
      <x:c r="E131" s="26" t="n">
        <x:v>8</x:v>
      </x:c>
      <x:c r="F131" s="32" t="b">
        <x:v>0</x:v>
      </x:c>
    </x:row>
    <x:row r="132">
      <x:c r="A132" s="38" t="n">
        <x:v>44957</x:v>
      </x:c>
      <x:c r="B132" t="n">
        <x:v>2023</x:v>
      </x:c>
      <x:c r="C132" t="str">
        <x:v>31.01</x:v>
      </x:c>
      <x:c r="D132" t="str">
        <x:v>DP medlem</x:v>
      </x:c>
      <x:c r="E132" s="26" t="n">
        <x:v>0</x:v>
      </x:c>
      <x:c r="F132" s="32" t="b">
        <x:v>0</x:v>
      </x:c>
    </x:row>
    <x:row r="133">
      <x:c r="A133" s="38" t="n">
        <x:v>44957</x:v>
      </x:c>
      <x:c r="B133" t="n">
        <x:v>2023</x:v>
      </x:c>
      <x:c r="C133" t="str">
        <x:v>31.01</x:v>
      </x:c>
      <x:c r="D133" t="str">
        <x:v>Alle medlemmer</x:v>
      </x:c>
      <x:c r="E133" s="26" t="n">
        <x:v>11698</x:v>
      </x:c>
      <x:c r="F133" s="32" t="b">
        <x:v>1</x:v>
      </x:c>
    </x:row>
    <x:row r="134">
      <x:c r="A134" s="38" t="n">
        <x:v>45016</x:v>
      </x:c>
      <x:c r="B134" t="n">
        <x:v>2023</x:v>
      </x:c>
      <x:c r="C134" t="str">
        <x:v>31.03</x:v>
      </x:c>
      <x:c r="D134" t="str">
        <x:v>Normaltansat over 19 timer</x:v>
      </x:c>
      <x:c r="E134" s="26" t="n">
        <x:v>5239</x:v>
      </x:c>
      <x:c r="F134" s="32" t="b">
        <x:v>0</x:v>
      </x:c>
    </x:row>
    <x:row r="135">
      <x:c r="A135" s="38" t="n">
        <x:v>45016</x:v>
      </x:c>
      <x:c r="B135" t="n">
        <x:v>2023</x:v>
      </x:c>
      <x:c r="C135" t="str">
        <x:v>31.03</x:v>
      </x:c>
      <x:c r="D135" t="str">
        <x:v>Psykologistuderende</x:v>
      </x:c>
      <x:c r="E135" s="26" t="n">
        <x:v>0</x:v>
      </x:c>
      <x:c r="F135" s="32" t="b">
        <x:v>0</x:v>
      </x:c>
    </x:row>
    <x:row r="136">
      <x:c r="A136" s="38" t="n">
        <x:v>45016</x:v>
      </x:c>
      <x:c r="B136" t="n">
        <x:v>2023</x:v>
      </x:c>
      <x:c r="C136" t="str">
        <x:v>31.03</x:v>
      </x:c>
      <x:c r="D136" t="str">
        <x:v>Pensionist DP - Udland</x:v>
      </x:c>
      <x:c r="E136" s="26" t="n">
        <x:v>9</x:v>
      </x:c>
      <x:c r="F136" s="32" t="b">
        <x:v>0</x:v>
      </x:c>
    </x:row>
    <x:row r="137">
      <x:c r="A137" s="38" t="n">
        <x:v>45016</x:v>
      </x:c>
      <x:c r="B137" t="n">
        <x:v>2023</x:v>
      </x:c>
      <x:c r="C137" t="str">
        <x:v>31.03</x:v>
      </x:c>
      <x:c r="D137" t="str">
        <x:v>Ledig DP</x:v>
      </x:c>
      <x:c r="E137" s="26" t="n">
        <x:v>423</x:v>
      </x:c>
      <x:c r="F137" s="32" t="b">
        <x:v>0</x:v>
      </x:c>
    </x:row>
    <x:row r="138">
      <x:c r="A138" s="38" t="n">
        <x:v>45016</x:v>
      </x:c>
      <x:c r="B138" t="n">
        <x:v>2023</x:v>
      </x:c>
      <x:c r="C138" t="str">
        <x:v>31.03</x:v>
      </x:c>
      <x:c r="D138" t="str">
        <x:v>1 og 2 års Kandidater</x:v>
      </x:c>
      <x:c r="E138" s="26" t="n">
        <x:v>570</x:v>
      </x:c>
      <x:c r="F138" s="32" t="b">
        <x:v>0</x:v>
      </x:c>
    </x:row>
    <x:row r="139">
      <x:c r="A139" s="38" t="n">
        <x:v>45016</x:v>
      </x:c>
      <x:c r="B139" t="n">
        <x:v>2023</x:v>
      </x:c>
      <x:c r="C139" t="str">
        <x:v>31.03</x:v>
      </x:c>
      <x:c r="D139" t="str">
        <x:v>Selvstændig</x:v>
      </x:c>
      <x:c r="E139" s="26" t="n">
        <x:v>2309</x:v>
      </x:c>
      <x:c r="F139" s="32" t="b">
        <x:v>0</x:v>
      </x:c>
    </x:row>
    <x:row r="140">
      <x:c r="A140" s="38" t="n">
        <x:v>45016</x:v>
      </x:c>
      <x:c r="B140" t="n">
        <x:v>2023</x:v>
      </x:c>
      <x:c r="C140" t="str">
        <x:v>31.03</x:v>
      </x:c>
      <x:c r="D140" t="str">
        <x:v>Studerende DP</x:v>
      </x:c>
      <x:c r="E140" s="26" t="n">
        <x:v>1402</x:v>
      </x:c>
      <x:c r="F140" s="32" t="b">
        <x:v>0</x:v>
      </x:c>
    </x:row>
    <x:row r="141">
      <x:c r="A141" s="38" t="n">
        <x:v>45016</x:v>
      </x:c>
      <x:c r="B141" t="n">
        <x:v>2023</x:v>
      </x:c>
      <x:c r="C141" t="str">
        <x:v>31.03</x:v>
      </x:c>
      <x:c r="D141" t="str">
        <x:v>Ph.d. studerende</x:v>
      </x:c>
      <x:c r="E141" s="26" t="n">
        <x:v>51</x:v>
      </x:c>
      <x:c r="F141" s="32" t="b">
        <x:v>0</x:v>
      </x:c>
    </x:row>
    <x:row r="142">
      <x:c r="A142" s="38" t="n">
        <x:v>45016</x:v>
      </x:c>
      <x:c r="B142" t="n">
        <x:v>2023</x:v>
      </x:c>
      <x:c r="C142" t="str">
        <x:v>31.03</x:v>
      </x:c>
      <x:c r="D142" t="str">
        <x:v>Orlov uden løn DP</x:v>
      </x:c>
      <x:c r="E142" s="26" t="n">
        <x:v>114</x:v>
      </x:c>
      <x:c r="F142" s="32" t="b">
        <x:v>0</x:v>
      </x:c>
    </x:row>
    <x:row r="143">
      <x:c r="A143" s="38" t="n">
        <x:v>45016</x:v>
      </x:c>
      <x:c r="B143" t="n">
        <x:v>2023</x:v>
      </x:c>
      <x:c r="C143" t="str">
        <x:v>31.03</x:v>
      </x:c>
      <x:c r="D143" t="str">
        <x:v>Udland DP</x:v>
      </x:c>
      <x:c r="E143" s="26" t="n">
        <x:v>57</x:v>
      </x:c>
      <x:c r="F143" s="32" t="b">
        <x:v>0</x:v>
      </x:c>
    </x:row>
    <x:row r="144">
      <x:c r="A144" s="38" t="n">
        <x:v>45016</x:v>
      </x:c>
      <x:c r="B144" t="n">
        <x:v>2023</x:v>
      </x:c>
      <x:c r="C144" t="str">
        <x:v>31.03</x:v>
      </x:c>
      <x:c r="D144" t="str">
        <x:v>Anden forhandlingsret</x:v>
      </x:c>
      <x:c r="E144" s="26" t="n">
        <x:v>28</x:v>
      </x:c>
      <x:c r="F144" s="32" t="b">
        <x:v>0</x:v>
      </x:c>
    </x:row>
    <x:row r="145">
      <x:c r="A145" s="38" t="n">
        <x:v>45016</x:v>
      </x:c>
      <x:c r="B145" t="n">
        <x:v>2023</x:v>
      </x:c>
      <x:c r="C145" t="str">
        <x:v>31.03</x:v>
      </x:c>
      <x:c r="D145" t="str">
        <x:v>Efterløn DP</x:v>
      </x:c>
      <x:c r="E145" s="26" t="n">
        <x:v>23</x:v>
      </x:c>
      <x:c r="F145" s="32" t="b">
        <x:v>0</x:v>
      </x:c>
    </x:row>
    <x:row r="146">
      <x:c r="A146" s="38" t="n">
        <x:v>45016</x:v>
      </x:c>
      <x:c r="B146" t="n">
        <x:v>2023</x:v>
      </x:c>
      <x:c r="C146" t="str">
        <x:v>31.03</x:v>
      </x:c>
      <x:c r="D146" t="str">
        <x:v>DLF og DLF ret</x:v>
      </x:c>
      <x:c r="E146" s="26" t="n">
        <x:v>133</x:v>
      </x:c>
      <x:c r="F146" s="32" t="b">
        <x:v>0</x:v>
      </x:c>
    </x:row>
    <x:row r="147">
      <x:c r="A147" s="38" t="n">
        <x:v>45016</x:v>
      </x:c>
      <x:c r="B147" t="n">
        <x:v>2023</x:v>
      </x:c>
      <x:c r="C147" t="str">
        <x:v>31.03</x:v>
      </x:c>
      <x:c r="D147" t="str">
        <x:v>Ledig ikke ret til dagpenge</x:v>
      </x:c>
      <x:c r="E147" s="26" t="n">
        <x:v>37</x:v>
      </x:c>
      <x:c r="F147" s="32" t="b">
        <x:v>0</x:v>
      </x:c>
    </x:row>
    <x:row r="148">
      <x:c r="A148" s="38" t="n">
        <x:v>45016</x:v>
      </x:c>
      <x:c r="B148" t="n">
        <x:v>2023</x:v>
      </x:c>
      <x:c r="C148" t="str">
        <x:v>31.03</x:v>
      </x:c>
      <x:c r="D148" t="str">
        <x:v>Normaltansat under 20 timer</x:v>
      </x:c>
      <x:c r="E148" s="26" t="n">
        <x:v>126</x:v>
      </x:c>
      <x:c r="F148" s="32" t="b">
        <x:v>0</x:v>
      </x:c>
    </x:row>
    <x:row r="149">
      <x:c r="A149" s="38" t="n">
        <x:v>45016</x:v>
      </x:c>
      <x:c r="B149" t="n">
        <x:v>2023</x:v>
      </x:c>
      <x:c r="C149" t="str">
        <x:v>31.03</x:v>
      </x:c>
      <x:c r="D149" t="str">
        <x:v>DLF og DP ret</x:v>
      </x:c>
      <x:c r="E149" s="26" t="n">
        <x:v>46</x:v>
      </x:c>
      <x:c r="F149" s="32" t="b">
        <x:v>0</x:v>
      </x:c>
    </x:row>
    <x:row r="150">
      <x:c r="A150" s="38" t="n">
        <x:v>45016</x:v>
      </x:c>
      <x:c r="B150" t="n">
        <x:v>2023</x:v>
      </x:c>
      <x:c r="C150" t="str">
        <x:v>31.03</x:v>
      </x:c>
      <x:c r="D150" t="str">
        <x:v>Med løntilskud</x:v>
      </x:c>
      <x:c r="E150" s="26" t="n">
        <x:v>19</x:v>
      </x:c>
      <x:c r="F150" s="32" t="b">
        <x:v>0</x:v>
      </x:c>
    </x:row>
    <x:row r="151">
      <x:c r="A151" s="38" t="n">
        <x:v>45016</x:v>
      </x:c>
      <x:c r="B151" t="n">
        <x:v>2023</x:v>
      </x:c>
      <x:c r="C151" t="str">
        <x:v>31.03</x:v>
      </x:c>
      <x:c r="D151" t="str">
        <x:v>Pensionist DP</x:v>
      </x:c>
      <x:c r="E151" s="26" t="n">
        <x:v>1093</x:v>
      </x:c>
      <x:c r="F151" s="32" t="b">
        <x:v>0</x:v>
      </x:c>
    </x:row>
    <x:row r="152">
      <x:c r="A152" s="38" t="n">
        <x:v>45016</x:v>
      </x:c>
      <x:c r="B152" t="n">
        <x:v>2023</x:v>
      </x:c>
      <x:c r="C152" t="str">
        <x:v>31.03</x:v>
      </x:c>
      <x:c r="D152" t="str">
        <x:v>DM1 Mag. art.</x:v>
      </x:c>
      <x:c r="E152" s="26" t="n">
        <x:v>9</x:v>
      </x:c>
      <x:c r="F152" s="32" t="b">
        <x:v>0</x:v>
      </x:c>
    </x:row>
    <x:row r="153">
      <x:c r="A153" s="38" t="n">
        <x:v>45016</x:v>
      </x:c>
      <x:c r="B153" t="n">
        <x:v>2023</x:v>
      </x:c>
      <x:c r="C153" t="str">
        <x:v>31.03</x:v>
      </x:c>
      <x:c r="D153" t="str">
        <x:v>Æresmedlem</x:v>
      </x:c>
      <x:c r="E153" s="26" t="n">
        <x:v>8</x:v>
      </x:c>
      <x:c r="F153" s="32" t="b">
        <x:v>0</x:v>
      </x:c>
    </x:row>
    <x:row r="154">
      <x:c r="A154" s="38" t="n">
        <x:v>45016</x:v>
      </x:c>
      <x:c r="B154" t="n">
        <x:v>2023</x:v>
      </x:c>
      <x:c r="C154" t="str">
        <x:v>31.03</x:v>
      </x:c>
      <x:c r="D154" t="str">
        <x:v>DP medlem</x:v>
      </x:c>
      <x:c r="E154" s="26" t="n">
        <x:v>0</x:v>
      </x:c>
      <x:c r="F154" s="32" t="b">
        <x:v>0</x:v>
      </x:c>
    </x:row>
    <x:row r="155">
      <x:c r="A155" s="38" t="n">
        <x:v>45016</x:v>
      </x:c>
      <x:c r="B155" t="n">
        <x:v>2023</x:v>
      </x:c>
      <x:c r="C155" t="str">
        <x:v>31.03</x:v>
      </x:c>
      <x:c r="D155" t="str">
        <x:v>Alle medlemmer</x:v>
      </x:c>
      <x:c r="E155" s="26" t="n">
        <x:v>11696</x:v>
      </x:c>
      <x:c r="F155" s="32" t="b">
        <x:v>1</x:v>
      </x:c>
    </x:row>
    <x:row r="156">
      <x:c r="A156" s="38" t="n">
        <x:v>45107</x:v>
      </x:c>
      <x:c r="B156" t="n">
        <x:v>2023</x:v>
      </x:c>
      <x:c r="C156" t="str">
        <x:v>30.06</x:v>
      </x:c>
      <x:c r="D156" t="str">
        <x:v>Normaltansat over 19 timer</x:v>
      </x:c>
      <x:c r="E156" s="26" t="n">
        <x:v>5280</x:v>
      </x:c>
      <x:c r="F156" s="32" t="b">
        <x:v>0</x:v>
      </x:c>
    </x:row>
    <x:row r="157">
      <x:c r="A157" s="38" t="n">
        <x:v>45107</x:v>
      </x:c>
      <x:c r="B157" t="n">
        <x:v>2023</x:v>
      </x:c>
      <x:c r="C157" t="str">
        <x:v>30.06</x:v>
      </x:c>
      <x:c r="D157" t="str">
        <x:v>Psykologistuderende</x:v>
      </x:c>
      <x:c r="E157" s="26" t="n">
        <x:v>0</x:v>
      </x:c>
      <x:c r="F157" s="32" t="b">
        <x:v>0</x:v>
      </x:c>
    </x:row>
    <x:row r="158">
      <x:c r="A158" s="38" t="n">
        <x:v>45107</x:v>
      </x:c>
      <x:c r="B158" t="n">
        <x:v>2023</x:v>
      </x:c>
      <x:c r="C158" t="str">
        <x:v>30.06</x:v>
      </x:c>
      <x:c r="D158" t="str">
        <x:v>Pensionist DP - Udland</x:v>
      </x:c>
      <x:c r="E158" s="26" t="n">
        <x:v>9</x:v>
      </x:c>
      <x:c r="F158" s="32" t="b">
        <x:v>0</x:v>
      </x:c>
    </x:row>
    <x:row r="159">
      <x:c r="A159" s="38" t="n">
        <x:v>45107</x:v>
      </x:c>
      <x:c r="B159" t="n">
        <x:v>2023</x:v>
      </x:c>
      <x:c r="C159" t="str">
        <x:v>30.06</x:v>
      </x:c>
      <x:c r="D159" t="str">
        <x:v>Ledig DP</x:v>
      </x:c>
      <x:c r="E159" s="26" t="n">
        <x:v>390</x:v>
      </x:c>
      <x:c r="F159" s="32" t="b">
        <x:v>0</x:v>
      </x:c>
    </x:row>
    <x:row r="160">
      <x:c r="A160" s="38" t="n">
        <x:v>45107</x:v>
      </x:c>
      <x:c r="B160" t="n">
        <x:v>2023</x:v>
      </x:c>
      <x:c r="C160" t="str">
        <x:v>30.06</x:v>
      </x:c>
      <x:c r="D160" t="str">
        <x:v>1 og 2 års Kandidater</x:v>
      </x:c>
      <x:c r="E160" s="26" t="n">
        <x:v>591</x:v>
      </x:c>
      <x:c r="F160" s="32" t="b">
        <x:v>0</x:v>
      </x:c>
    </x:row>
    <x:row r="161">
      <x:c r="A161" s="38" t="n">
        <x:v>45107</x:v>
      </x:c>
      <x:c r="B161" t="n">
        <x:v>2023</x:v>
      </x:c>
      <x:c r="C161" t="str">
        <x:v>30.06</x:v>
      </x:c>
      <x:c r="D161" t="str">
        <x:v>Selvstændig</x:v>
      </x:c>
      <x:c r="E161" s="26" t="n">
        <x:v>2322</x:v>
      </x:c>
      <x:c r="F161" s="32" t="b">
        <x:v>0</x:v>
      </x:c>
    </x:row>
    <x:row r="162">
      <x:c r="A162" s="38" t="n">
        <x:v>45107</x:v>
      </x:c>
      <x:c r="B162" t="n">
        <x:v>2023</x:v>
      </x:c>
      <x:c r="C162" t="str">
        <x:v>30.06</x:v>
      </x:c>
      <x:c r="D162" t="str">
        <x:v>Studerende DP</x:v>
      </x:c>
      <x:c r="E162" s="26" t="n">
        <x:v>1416</x:v>
      </x:c>
      <x:c r="F162" s="32" t="b">
        <x:v>0</x:v>
      </x:c>
    </x:row>
    <x:row r="163">
      <x:c r="A163" s="38" t="n">
        <x:v>45107</x:v>
      </x:c>
      <x:c r="B163" t="n">
        <x:v>2023</x:v>
      </x:c>
      <x:c r="C163" t="str">
        <x:v>30.06</x:v>
      </x:c>
      <x:c r="D163" t="str">
        <x:v>Ph.d. studerende</x:v>
      </x:c>
      <x:c r="E163" s="26" t="n">
        <x:v>51</x:v>
      </x:c>
      <x:c r="F163" s="32" t="b">
        <x:v>0</x:v>
      </x:c>
    </x:row>
    <x:row r="164">
      <x:c r="A164" s="38" t="n">
        <x:v>45107</x:v>
      </x:c>
      <x:c r="B164" t="n">
        <x:v>2023</x:v>
      </x:c>
      <x:c r="C164" t="str">
        <x:v>30.06</x:v>
      </x:c>
      <x:c r="D164" t="str">
        <x:v>Orlov uden løn DP</x:v>
      </x:c>
      <x:c r="E164" s="26" t="n">
        <x:v>88</x:v>
      </x:c>
      <x:c r="F164" s="32" t="b">
        <x:v>0</x:v>
      </x:c>
    </x:row>
    <x:row r="165">
      <x:c r="A165" s="38" t="n">
        <x:v>45107</x:v>
      </x:c>
      <x:c r="B165" t="n">
        <x:v>2023</x:v>
      </x:c>
      <x:c r="C165" t="str">
        <x:v>30.06</x:v>
      </x:c>
      <x:c r="D165" t="str">
        <x:v>Udland DP</x:v>
      </x:c>
      <x:c r="E165" s="26" t="n">
        <x:v>55</x:v>
      </x:c>
      <x:c r="F165" s="32" t="b">
        <x:v>0</x:v>
      </x:c>
    </x:row>
    <x:row r="166">
      <x:c r="A166" s="38" t="n">
        <x:v>45107</x:v>
      </x:c>
      <x:c r="B166" t="n">
        <x:v>2023</x:v>
      </x:c>
      <x:c r="C166" t="str">
        <x:v>30.06</x:v>
      </x:c>
      <x:c r="D166" t="str">
        <x:v>Anden forhandlingsret</x:v>
      </x:c>
      <x:c r="E166" s="26" t="n">
        <x:v>27</x:v>
      </x:c>
      <x:c r="F166" s="32" t="b">
        <x:v>0</x:v>
      </x:c>
    </x:row>
    <x:row r="167">
      <x:c r="A167" s="38" t="n">
        <x:v>45107</x:v>
      </x:c>
      <x:c r="B167" t="n">
        <x:v>2023</x:v>
      </x:c>
      <x:c r="C167" t="str">
        <x:v>30.06</x:v>
      </x:c>
      <x:c r="D167" t="str">
        <x:v>Efterløn DP</x:v>
      </x:c>
      <x:c r="E167" s="26" t="n">
        <x:v>21</x:v>
      </x:c>
      <x:c r="F167" s="32" t="b">
        <x:v>0</x:v>
      </x:c>
    </x:row>
    <x:row r="168">
      <x:c r="A168" s="38" t="n">
        <x:v>45107</x:v>
      </x:c>
      <x:c r="B168" t="n">
        <x:v>2023</x:v>
      </x:c>
      <x:c r="C168" t="str">
        <x:v>30.06</x:v>
      </x:c>
      <x:c r="D168" t="str">
        <x:v>DLF og DLF ret</x:v>
      </x:c>
      <x:c r="E168" s="26" t="n">
        <x:v>132</x:v>
      </x:c>
      <x:c r="F168" s="32" t="b">
        <x:v>0</x:v>
      </x:c>
    </x:row>
    <x:row r="169">
      <x:c r="A169" s="38" t="n">
        <x:v>45107</x:v>
      </x:c>
      <x:c r="B169" t="n">
        <x:v>2023</x:v>
      </x:c>
      <x:c r="C169" t="str">
        <x:v>30.06</x:v>
      </x:c>
      <x:c r="D169" t="str">
        <x:v>Ledig ikke ret til dagpenge</x:v>
      </x:c>
      <x:c r="E169" s="26" t="n">
        <x:v>38</x:v>
      </x:c>
      <x:c r="F169" s="32" t="b">
        <x:v>0</x:v>
      </x:c>
    </x:row>
    <x:row r="170">
      <x:c r="A170" s="38" t="n">
        <x:v>45107</x:v>
      </x:c>
      <x:c r="B170" t="n">
        <x:v>2023</x:v>
      </x:c>
      <x:c r="C170" t="str">
        <x:v>30.06</x:v>
      </x:c>
      <x:c r="D170" t="str">
        <x:v>Normaltansat under 20 timer</x:v>
      </x:c>
      <x:c r="E170" s="26" t="n">
        <x:v>122</x:v>
      </x:c>
      <x:c r="F170" s="32" t="b">
        <x:v>0</x:v>
      </x:c>
    </x:row>
    <x:row r="171">
      <x:c r="A171" s="38" t="n">
        <x:v>45107</x:v>
      </x:c>
      <x:c r="B171" t="n">
        <x:v>2023</x:v>
      </x:c>
      <x:c r="C171" t="str">
        <x:v>30.06</x:v>
      </x:c>
      <x:c r="D171" t="str">
        <x:v>DLF og DP ret</x:v>
      </x:c>
      <x:c r="E171" s="26" t="n">
        <x:v>45</x:v>
      </x:c>
      <x:c r="F171" s="32" t="b">
        <x:v>0</x:v>
      </x:c>
    </x:row>
    <x:row r="172">
      <x:c r="A172" s="38" t="n">
        <x:v>45107</x:v>
      </x:c>
      <x:c r="B172" t="n">
        <x:v>2023</x:v>
      </x:c>
      <x:c r="C172" t="str">
        <x:v>30.06</x:v>
      </x:c>
      <x:c r="D172" t="str">
        <x:v>Med løntilskud</x:v>
      </x:c>
      <x:c r="E172" s="26" t="n">
        <x:v>21</x:v>
      </x:c>
      <x:c r="F172" s="32" t="b">
        <x:v>0</x:v>
      </x:c>
    </x:row>
    <x:row r="173">
      <x:c r="A173" s="38" t="n">
        <x:v>45107</x:v>
      </x:c>
      <x:c r="B173" t="n">
        <x:v>2023</x:v>
      </x:c>
      <x:c r="C173" t="str">
        <x:v>30.06</x:v>
      </x:c>
      <x:c r="D173" t="str">
        <x:v>Pensionist DP</x:v>
      </x:c>
      <x:c r="E173" s="26" t="n">
        <x:v>1082</x:v>
      </x:c>
      <x:c r="F173" s="32" t="b">
        <x:v>0</x:v>
      </x:c>
    </x:row>
    <x:row r="174">
      <x:c r="A174" s="38" t="n">
        <x:v>45107</x:v>
      </x:c>
      <x:c r="B174" t="n">
        <x:v>2023</x:v>
      </x:c>
      <x:c r="C174" t="str">
        <x:v>30.06</x:v>
      </x:c>
      <x:c r="D174" t="str">
        <x:v>DM1 Mag. art.</x:v>
      </x:c>
      <x:c r="E174" s="26" t="n">
        <x:v>9</x:v>
      </x:c>
      <x:c r="F174" s="32" t="b">
        <x:v>0</x:v>
      </x:c>
    </x:row>
    <x:row r="175">
      <x:c r="A175" s="38" t="n">
        <x:v>45107</x:v>
      </x:c>
      <x:c r="B175" t="n">
        <x:v>2023</x:v>
      </x:c>
      <x:c r="C175" t="str">
        <x:v>30.06</x:v>
      </x:c>
      <x:c r="D175" t="str">
        <x:v>Æresmedlem</x:v>
      </x:c>
      <x:c r="E175" s="26" t="n">
        <x:v>8</x:v>
      </x:c>
      <x:c r="F175" s="32" t="b">
        <x:v>0</x:v>
      </x:c>
    </x:row>
    <x:row r="176">
      <x:c r="A176" s="38" t="n">
        <x:v>45107</x:v>
      </x:c>
      <x:c r="B176" t="n">
        <x:v>2023</x:v>
      </x:c>
      <x:c r="C176" t="str">
        <x:v>30.06</x:v>
      </x:c>
      <x:c r="D176" t="str">
        <x:v>DP medlem</x:v>
      </x:c>
      <x:c r="E176" s="26" t="n">
        <x:v>0</x:v>
      </x:c>
      <x:c r="F176" s="32" t="b">
        <x:v>0</x:v>
      </x:c>
    </x:row>
    <x:row r="177">
      <x:c r="A177" s="38" t="n">
        <x:v>45107</x:v>
      </x:c>
      <x:c r="B177" t="n">
        <x:v>2023</x:v>
      </x:c>
      <x:c r="C177" t="str">
        <x:v>30.06</x:v>
      </x:c>
      <x:c r="D177" t="str">
        <x:v>Alle medlemmer</x:v>
      </x:c>
      <x:c r="E177" s="26" t="n">
        <x:v>11707</x:v>
      </x:c>
      <x:c r="F177" s="32" t="b">
        <x:v>1</x:v>
      </x:c>
    </x:row>
    <x:row r="178">
      <x:c r="A178" s="38" t="n">
        <x:v>45199</x:v>
      </x:c>
      <x:c r="B178" t="n">
        <x:v>2023</x:v>
      </x:c>
      <x:c r="C178" t="str">
        <x:v>30.09</x:v>
      </x:c>
      <x:c r="D178" t="str">
        <x:v>Normaltansat over 19 timer</x:v>
      </x:c>
      <x:c r="E178" s="26" t="n">
        <x:v>5452</x:v>
      </x:c>
      <x:c r="F178" s="32" t="b">
        <x:v>0</x:v>
      </x:c>
    </x:row>
    <x:row r="179">
      <x:c r="A179" s="38" t="n">
        <x:v>45199</x:v>
      </x:c>
      <x:c r="B179" t="n">
        <x:v>2023</x:v>
      </x:c>
      <x:c r="C179" t="str">
        <x:v>30.09</x:v>
      </x:c>
      <x:c r="D179" t="str">
        <x:v>Psykologistuderende</x:v>
      </x:c>
      <x:c r="E179" s="26" t="n">
        <x:v>0</x:v>
      </x:c>
      <x:c r="F179" s="32" t="b">
        <x:v>0</x:v>
      </x:c>
    </x:row>
    <x:row r="180">
      <x:c r="A180" s="38" t="n">
        <x:v>45199</x:v>
      </x:c>
      <x:c r="B180" t="n">
        <x:v>2023</x:v>
      </x:c>
      <x:c r="C180" t="str">
        <x:v>30.09</x:v>
      </x:c>
      <x:c r="D180" t="str">
        <x:v>Pensionist DP - Udland</x:v>
      </x:c>
      <x:c r="E180" s="26" t="n">
        <x:v>10</x:v>
      </x:c>
      <x:c r="F180" s="32" t="b">
        <x:v>0</x:v>
      </x:c>
    </x:row>
    <x:row r="181">
      <x:c r="A181" s="38" t="n">
        <x:v>45199</x:v>
      </x:c>
      <x:c r="B181" t="n">
        <x:v>2023</x:v>
      </x:c>
      <x:c r="C181" t="str">
        <x:v>30.09</x:v>
      </x:c>
      <x:c r="D181" t="str">
        <x:v>Ledig DP</x:v>
      </x:c>
      <x:c r="E181" s="26" t="n">
        <x:v>477</x:v>
      </x:c>
      <x:c r="F181" s="32" t="b">
        <x:v>0</x:v>
      </x:c>
    </x:row>
    <x:row r="182">
      <x:c r="A182" s="38" t="n">
        <x:v>45199</x:v>
      </x:c>
      <x:c r="B182" t="n">
        <x:v>2023</x:v>
      </x:c>
      <x:c r="C182" t="str">
        <x:v>30.09</x:v>
      </x:c>
      <x:c r="D182" t="str">
        <x:v>1 og 2 års Kandidater</x:v>
      </x:c>
      <x:c r="E182" s="26" t="n">
        <x:v>484</x:v>
      </x:c>
      <x:c r="F182" s="32" t="b">
        <x:v>0</x:v>
      </x:c>
    </x:row>
    <x:row r="183">
      <x:c r="A183" s="38" t="n">
        <x:v>45199</x:v>
      </x:c>
      <x:c r="B183" t="n">
        <x:v>2023</x:v>
      </x:c>
      <x:c r="C183" t="str">
        <x:v>30.09</x:v>
      </x:c>
      <x:c r="D183" t="str">
        <x:v>Selvstændig</x:v>
      </x:c>
      <x:c r="E183" s="26" t="n">
        <x:v>2368</x:v>
      </x:c>
      <x:c r="F183" s="32" t="b">
        <x:v>0</x:v>
      </x:c>
    </x:row>
    <x:row r="184">
      <x:c r="A184" s="38" t="n">
        <x:v>45199</x:v>
      </x:c>
      <x:c r="B184" t="n">
        <x:v>2023</x:v>
      </x:c>
      <x:c r="C184" t="str">
        <x:v>30.09</x:v>
      </x:c>
      <x:c r="D184" t="str">
        <x:v>Studerende DP</x:v>
      </x:c>
      <x:c r="E184" s="26" t="n">
        <x:v>1567</x:v>
      </x:c>
      <x:c r="F184" s="32" t="b">
        <x:v>0</x:v>
      </x:c>
    </x:row>
    <x:row r="185">
      <x:c r="A185" s="38" t="n">
        <x:v>45199</x:v>
      </x:c>
      <x:c r="B185" t="n">
        <x:v>2023</x:v>
      </x:c>
      <x:c r="C185" t="str">
        <x:v>30.09</x:v>
      </x:c>
      <x:c r="D185" t="str">
        <x:v>Ph.d. studerende</x:v>
      </x:c>
      <x:c r="E185" s="26" t="n">
        <x:v>50</x:v>
      </x:c>
      <x:c r="F185" s="32" t="b">
        <x:v>0</x:v>
      </x:c>
    </x:row>
    <x:row r="186">
      <x:c r="A186" s="38" t="n">
        <x:v>45199</x:v>
      </x:c>
      <x:c r="B186" t="n">
        <x:v>2023</x:v>
      </x:c>
      <x:c r="C186" t="str">
        <x:v>30.09</x:v>
      </x:c>
      <x:c r="D186" t="str">
        <x:v>Orlov uden løn DP</x:v>
      </x:c>
      <x:c r="E186" s="26" t="n">
        <x:v>73</x:v>
      </x:c>
      <x:c r="F186" s="32" t="b">
        <x:v>0</x:v>
      </x:c>
    </x:row>
    <x:row r="187">
      <x:c r="A187" s="38" t="n">
        <x:v>45199</x:v>
      </x:c>
      <x:c r="B187" t="n">
        <x:v>2023</x:v>
      </x:c>
      <x:c r="C187" t="str">
        <x:v>30.09</x:v>
      </x:c>
      <x:c r="D187" t="str">
        <x:v>Udland DP</x:v>
      </x:c>
      <x:c r="E187" s="26" t="n">
        <x:v>58</x:v>
      </x:c>
      <x:c r="F187" s="32" t="b">
        <x:v>0</x:v>
      </x:c>
    </x:row>
    <x:row r="188">
      <x:c r="A188" s="38" t="n">
        <x:v>45199</x:v>
      </x:c>
      <x:c r="B188" t="n">
        <x:v>2023</x:v>
      </x:c>
      <x:c r="C188" t="str">
        <x:v>30.09</x:v>
      </x:c>
      <x:c r="D188" t="str">
        <x:v>Anden forhandlingsret</x:v>
      </x:c>
      <x:c r="E188" s="26" t="n">
        <x:v>27</x:v>
      </x:c>
      <x:c r="F188" s="32" t="b">
        <x:v>0</x:v>
      </x:c>
    </x:row>
    <x:row r="189">
      <x:c r="A189" s="38" t="n">
        <x:v>45199</x:v>
      </x:c>
      <x:c r="B189" t="n">
        <x:v>2023</x:v>
      </x:c>
      <x:c r="C189" t="str">
        <x:v>30.09</x:v>
      </x:c>
      <x:c r="D189" t="str">
        <x:v>Efterløn DP</x:v>
      </x:c>
      <x:c r="E189" s="26" t="n">
        <x:v>20</x:v>
      </x:c>
      <x:c r="F189" s="32" t="b">
        <x:v>0</x:v>
      </x:c>
    </x:row>
    <x:row r="190">
      <x:c r="A190" s="38" t="n">
        <x:v>45199</x:v>
      </x:c>
      <x:c r="B190" t="n">
        <x:v>2023</x:v>
      </x:c>
      <x:c r="C190" t="str">
        <x:v>30.09</x:v>
      </x:c>
      <x:c r="D190" t="str">
        <x:v>DLF og DLF ret</x:v>
      </x:c>
      <x:c r="E190" s="26" t="n">
        <x:v>131</x:v>
      </x:c>
      <x:c r="F190" s="32" t="b">
        <x:v>0</x:v>
      </x:c>
    </x:row>
    <x:row r="191">
      <x:c r="A191" s="38" t="n">
        <x:v>45199</x:v>
      </x:c>
      <x:c r="B191" t="n">
        <x:v>2023</x:v>
      </x:c>
      <x:c r="C191" t="str">
        <x:v>30.09</x:v>
      </x:c>
      <x:c r="D191" t="str">
        <x:v>Ledig ikke ret til dagpenge</x:v>
      </x:c>
      <x:c r="E191" s="26" t="n">
        <x:v>39</x:v>
      </x:c>
      <x:c r="F191" s="32" t="b">
        <x:v>0</x:v>
      </x:c>
    </x:row>
    <x:row r="192">
      <x:c r="A192" s="38" t="n">
        <x:v>45199</x:v>
      </x:c>
      <x:c r="B192" t="n">
        <x:v>2023</x:v>
      </x:c>
      <x:c r="C192" t="str">
        <x:v>30.09</x:v>
      </x:c>
      <x:c r="D192" t="str">
        <x:v>Normaltansat under 20 timer</x:v>
      </x:c>
      <x:c r="E192" s="26" t="n">
        <x:v>114</x:v>
      </x:c>
      <x:c r="F192" s="32" t="b">
        <x:v>0</x:v>
      </x:c>
    </x:row>
    <x:row r="193">
      <x:c r="A193" s="38" t="n">
        <x:v>45199</x:v>
      </x:c>
      <x:c r="B193" t="n">
        <x:v>2023</x:v>
      </x:c>
      <x:c r="C193" t="str">
        <x:v>30.09</x:v>
      </x:c>
      <x:c r="D193" t="str">
        <x:v>DLF og DP ret</x:v>
      </x:c>
      <x:c r="E193" s="26" t="n">
        <x:v>45</x:v>
      </x:c>
      <x:c r="F193" s="32" t="b">
        <x:v>0</x:v>
      </x:c>
    </x:row>
    <x:row r="194">
      <x:c r="A194" s="38" t="n">
        <x:v>45199</x:v>
      </x:c>
      <x:c r="B194" t="n">
        <x:v>2023</x:v>
      </x:c>
      <x:c r="C194" t="str">
        <x:v>30.09</x:v>
      </x:c>
      <x:c r="D194" t="str">
        <x:v>Med løntilskud</x:v>
      </x:c>
      <x:c r="E194" s="26" t="n">
        <x:v>21</x:v>
      </x:c>
      <x:c r="F194" s="32" t="b">
        <x:v>0</x:v>
      </x:c>
    </x:row>
    <x:row r="195">
      <x:c r="A195" s="38" t="n">
        <x:v>45199</x:v>
      </x:c>
      <x:c r="B195" t="n">
        <x:v>2023</x:v>
      </x:c>
      <x:c r="C195" t="str">
        <x:v>30.09</x:v>
      </x:c>
      <x:c r="D195" t="str">
        <x:v>Pensionist DP</x:v>
      </x:c>
      <x:c r="E195" s="26" t="n">
        <x:v>1092</x:v>
      </x:c>
      <x:c r="F195" s="32" t="b">
        <x:v>0</x:v>
      </x:c>
    </x:row>
    <x:row r="196">
      <x:c r="A196" s="38" t="n">
        <x:v>45199</x:v>
      </x:c>
      <x:c r="B196" t="n">
        <x:v>2023</x:v>
      </x:c>
      <x:c r="C196" t="str">
        <x:v>30.09</x:v>
      </x:c>
      <x:c r="D196" t="str">
        <x:v>DM1 Mag. art.</x:v>
      </x:c>
      <x:c r="E196" s="26" t="n">
        <x:v>9</x:v>
      </x:c>
      <x:c r="F196" s="32" t="b">
        <x:v>0</x:v>
      </x:c>
    </x:row>
    <x:row r="197">
      <x:c r="A197" s="38" t="n">
        <x:v>45199</x:v>
      </x:c>
      <x:c r="B197" t="n">
        <x:v>2023</x:v>
      </x:c>
      <x:c r="C197" t="str">
        <x:v>30.09</x:v>
      </x:c>
      <x:c r="D197" t="str">
        <x:v>Æresmedlem</x:v>
      </x:c>
      <x:c r="E197" s="26" t="n">
        <x:v>8</x:v>
      </x:c>
      <x:c r="F197" s="32" t="b">
        <x:v>0</x:v>
      </x:c>
    </x:row>
    <x:row r="198">
      <x:c r="A198" s="38" t="n">
        <x:v>45199</x:v>
      </x:c>
      <x:c r="B198" t="n">
        <x:v>2023</x:v>
      </x:c>
      <x:c r="C198" t="str">
        <x:v>30.09</x:v>
      </x:c>
      <x:c r="D198" t="str">
        <x:v>DP medlem</x:v>
      </x:c>
      <x:c r="E198" s="26" t="n">
        <x:v>0</x:v>
      </x:c>
      <x:c r="F198" s="32" t="b">
        <x:v>0</x:v>
      </x:c>
    </x:row>
    <x:row r="199">
      <x:c r="A199" s="38" t="n">
        <x:v>45199</x:v>
      </x:c>
      <x:c r="B199" t="n">
        <x:v>2023</x:v>
      </x:c>
      <x:c r="C199" t="str">
        <x:v>30.09</x:v>
      </x:c>
      <x:c r="D199" t="str">
        <x:v>Alle medlemmer</x:v>
      </x:c>
      <x:c r="E199" s="26" t="n">
        <x:v>12045</x:v>
      </x:c>
      <x:c r="F199" s="32" t="b">
        <x:v>1</x:v>
      </x:c>
    </x:row>
    <x:row r="200">
      <x:c r="A200" s="38" t="n">
        <x:v>45291</x:v>
      </x:c>
      <x:c r="B200" t="n">
        <x:v>2023</x:v>
      </x:c>
      <x:c r="C200" t="str">
        <x:v>31.12</x:v>
      </x:c>
      <x:c r="D200" t="str">
        <x:v>Normaltansat over 19 timer</x:v>
      </x:c>
      <x:c r="E200" s="26" t="n">
        <x:v>5418</x:v>
      </x:c>
      <x:c r="F200" s="32" t="b">
        <x:v>0</x:v>
      </x:c>
    </x:row>
    <x:row r="201">
      <x:c r="A201" s="38" t="n">
        <x:v>45291</x:v>
      </x:c>
      <x:c r="B201" t="n">
        <x:v>2023</x:v>
      </x:c>
      <x:c r="C201" t="str">
        <x:v>31.12</x:v>
      </x:c>
      <x:c r="D201" t="str">
        <x:v>Psykologistuderende</x:v>
      </x:c>
      <x:c r="E201" s="26" t="n">
        <x:v>0</x:v>
      </x:c>
      <x:c r="F201" s="32" t="b">
        <x:v>0</x:v>
      </x:c>
    </x:row>
    <x:row r="202">
      <x:c r="A202" s="38" t="n">
        <x:v>45291</x:v>
      </x:c>
      <x:c r="B202" t="n">
        <x:v>2023</x:v>
      </x:c>
      <x:c r="C202" t="str">
        <x:v>31.12</x:v>
      </x:c>
      <x:c r="D202" t="str">
        <x:v>Pensionist DP - Udland</x:v>
      </x:c>
      <x:c r="E202" s="26" t="n">
        <x:v>11</x:v>
      </x:c>
      <x:c r="F202" s="32" t="b">
        <x:v>0</x:v>
      </x:c>
    </x:row>
    <x:row r="203">
      <x:c r="A203" s="38" t="n">
        <x:v>45291</x:v>
      </x:c>
      <x:c r="B203" t="n">
        <x:v>2023</x:v>
      </x:c>
      <x:c r="C203" t="str">
        <x:v>31.12</x:v>
      </x:c>
      <x:c r="D203" t="str">
        <x:v>Ledig DP</x:v>
      </x:c>
      <x:c r="E203" s="26" t="n">
        <x:v>412</x:v>
      </x:c>
      <x:c r="F203" s="32" t="b">
        <x:v>0</x:v>
      </x:c>
    </x:row>
    <x:row r="204">
      <x:c r="A204" s="38" t="n">
        <x:v>45291</x:v>
      </x:c>
      <x:c r="B204" t="n">
        <x:v>2023</x:v>
      </x:c>
      <x:c r="C204" t="str">
        <x:v>31.12</x:v>
      </x:c>
      <x:c r="D204" t="str">
        <x:v>1 og 2 års Kandidater</x:v>
      </x:c>
      <x:c r="E204" s="26" t="n">
        <x:v>532</x:v>
      </x:c>
      <x:c r="F204" s="32" t="b">
        <x:v>0</x:v>
      </x:c>
    </x:row>
    <x:row r="205">
      <x:c r="A205" s="38" t="n">
        <x:v>45291</x:v>
      </x:c>
      <x:c r="B205" t="n">
        <x:v>2023</x:v>
      </x:c>
      <x:c r="C205" t="str">
        <x:v>31.12</x:v>
      </x:c>
      <x:c r="D205" t="str">
        <x:v>Selvstændig</x:v>
      </x:c>
      <x:c r="E205" s="26" t="n">
        <x:v>2364</x:v>
      </x:c>
      <x:c r="F205" s="32" t="b">
        <x:v>0</x:v>
      </x:c>
    </x:row>
    <x:row r="206">
      <x:c r="A206" s="38" t="n">
        <x:v>45291</x:v>
      </x:c>
      <x:c r="B206" t="n">
        <x:v>2023</x:v>
      </x:c>
      <x:c r="C206" t="str">
        <x:v>31.12</x:v>
      </x:c>
      <x:c r="D206" t="str">
        <x:v>Studerende DP</x:v>
      </x:c>
      <x:c r="E206" s="26" t="n">
        <x:v>1624</x:v>
      </x:c>
      <x:c r="F206" s="32" t="b">
        <x:v>0</x:v>
      </x:c>
    </x:row>
    <x:row r="207">
      <x:c r="A207" s="38" t="n">
        <x:v>45291</x:v>
      </x:c>
      <x:c r="B207" t="n">
        <x:v>2023</x:v>
      </x:c>
      <x:c r="C207" t="str">
        <x:v>31.12</x:v>
      </x:c>
      <x:c r="D207" t="str">
        <x:v>Ph.d. studerende</x:v>
      </x:c>
      <x:c r="E207" s="26" t="n">
        <x:v>48</x:v>
      </x:c>
      <x:c r="F207" s="32" t="b">
        <x:v>0</x:v>
      </x:c>
    </x:row>
    <x:row r="208">
      <x:c r="A208" s="38" t="n">
        <x:v>45291</x:v>
      </x:c>
      <x:c r="B208" t="n">
        <x:v>2023</x:v>
      </x:c>
      <x:c r="C208" t="str">
        <x:v>31.12</x:v>
      </x:c>
      <x:c r="D208" t="str">
        <x:v>Orlov uden løn DP</x:v>
      </x:c>
      <x:c r="E208" s="26" t="n">
        <x:v>83</x:v>
      </x:c>
      <x:c r="F208" s="32" t="b">
        <x:v>0</x:v>
      </x:c>
    </x:row>
    <x:row r="209">
      <x:c r="A209" s="38" t="n">
        <x:v>45291</x:v>
      </x:c>
      <x:c r="B209" t="n">
        <x:v>2023</x:v>
      </x:c>
      <x:c r="C209" t="str">
        <x:v>31.12</x:v>
      </x:c>
      <x:c r="D209" t="str">
        <x:v>Udland DP</x:v>
      </x:c>
      <x:c r="E209" s="26" t="n">
        <x:v>55</x:v>
      </x:c>
      <x:c r="F209" s="32" t="b">
        <x:v>0</x:v>
      </x:c>
    </x:row>
    <x:row r="210">
      <x:c r="A210" s="38" t="n">
        <x:v>45291</x:v>
      </x:c>
      <x:c r="B210" t="n">
        <x:v>2023</x:v>
      </x:c>
      <x:c r="C210" t="str">
        <x:v>31.12</x:v>
      </x:c>
      <x:c r="D210" t="str">
        <x:v>Anden forhandlingsret</x:v>
      </x:c>
      <x:c r="E210" s="26" t="n">
        <x:v>26</x:v>
      </x:c>
      <x:c r="F210" s="32" t="b">
        <x:v>0</x:v>
      </x:c>
    </x:row>
    <x:row r="211">
      <x:c r="A211" s="38" t="n">
        <x:v>45291</x:v>
      </x:c>
      <x:c r="B211" t="n">
        <x:v>2023</x:v>
      </x:c>
      <x:c r="C211" t="str">
        <x:v>31.12</x:v>
      </x:c>
      <x:c r="D211" t="str">
        <x:v>Efterløn DP</x:v>
      </x:c>
      <x:c r="E211" s="26" t="n">
        <x:v>19</x:v>
      </x:c>
      <x:c r="F211" s="32" t="b">
        <x:v>0</x:v>
      </x:c>
    </x:row>
    <x:row r="212">
      <x:c r="A212" s="38" t="n">
        <x:v>45291</x:v>
      </x:c>
      <x:c r="B212" t="n">
        <x:v>2023</x:v>
      </x:c>
      <x:c r="C212" t="str">
        <x:v>31.12</x:v>
      </x:c>
      <x:c r="D212" t="str">
        <x:v>DLF og DLF ret</x:v>
      </x:c>
      <x:c r="E212" s="26" t="n">
        <x:v>131</x:v>
      </x:c>
      <x:c r="F212" s="32" t="b">
        <x:v>0</x:v>
      </x:c>
    </x:row>
    <x:row r="213">
      <x:c r="A213" s="38" t="n">
        <x:v>45291</x:v>
      </x:c>
      <x:c r="B213" t="n">
        <x:v>2023</x:v>
      </x:c>
      <x:c r="C213" t="str">
        <x:v>31.12</x:v>
      </x:c>
      <x:c r="D213" t="str">
        <x:v>Ledig ikke ret til dagpenge</x:v>
      </x:c>
      <x:c r="E213" s="26" t="n">
        <x:v>40</x:v>
      </x:c>
      <x:c r="F213" s="32" t="b">
        <x:v>0</x:v>
      </x:c>
    </x:row>
    <x:row r="214">
      <x:c r="A214" s="38" t="n">
        <x:v>45291</x:v>
      </x:c>
      <x:c r="B214" t="n">
        <x:v>2023</x:v>
      </x:c>
      <x:c r="C214" t="str">
        <x:v>31.12</x:v>
      </x:c>
      <x:c r="D214" t="str">
        <x:v>Normaltansat under 20 timer</x:v>
      </x:c>
      <x:c r="E214" s="26" t="n">
        <x:v>116</x:v>
      </x:c>
      <x:c r="F214" s="32" t="b">
        <x:v>0</x:v>
      </x:c>
    </x:row>
    <x:row r="215">
      <x:c r="A215" s="38" t="n">
        <x:v>45291</x:v>
      </x:c>
      <x:c r="B215" t="n">
        <x:v>2023</x:v>
      </x:c>
      <x:c r="C215" t="str">
        <x:v>31.12</x:v>
      </x:c>
      <x:c r="D215" t="str">
        <x:v>DLF og DP ret</x:v>
      </x:c>
      <x:c r="E215" s="26" t="n">
        <x:v>44</x:v>
      </x:c>
      <x:c r="F215" s="32" t="b">
        <x:v>0</x:v>
      </x:c>
    </x:row>
    <x:row r="216">
      <x:c r="A216" s="38" t="n">
        <x:v>45291</x:v>
      </x:c>
      <x:c r="B216" t="n">
        <x:v>2023</x:v>
      </x:c>
      <x:c r="C216" t="str">
        <x:v>31.12</x:v>
      </x:c>
      <x:c r="D216" t="str">
        <x:v>Med løntilskud</x:v>
      </x:c>
      <x:c r="E216" s="26" t="n">
        <x:v>22</x:v>
      </x:c>
      <x:c r="F216" s="32" t="b">
        <x:v>0</x:v>
      </x:c>
    </x:row>
    <x:row r="217">
      <x:c r="A217" s="38" t="n">
        <x:v>45291</x:v>
      </x:c>
      <x:c r="B217" t="n">
        <x:v>2023</x:v>
      </x:c>
      <x:c r="C217" t="str">
        <x:v>31.12</x:v>
      </x:c>
      <x:c r="D217" t="str">
        <x:v>Pensionist DP</x:v>
      </x:c>
      <x:c r="E217" s="26" t="n">
        <x:v>1089</x:v>
      </x:c>
      <x:c r="F217" s="32" t="b">
        <x:v>0</x:v>
      </x:c>
    </x:row>
    <x:row r="218">
      <x:c r="A218" s="38" t="n">
        <x:v>45291</x:v>
      </x:c>
      <x:c r="B218" t="n">
        <x:v>2023</x:v>
      </x:c>
      <x:c r="C218" t="str">
        <x:v>31.12</x:v>
      </x:c>
      <x:c r="D218" t="str">
        <x:v>DM1 Mag. art.</x:v>
      </x:c>
      <x:c r="E218" s="26" t="n">
        <x:v>9</x:v>
      </x:c>
      <x:c r="F218" s="32" t="b">
        <x:v>0</x:v>
      </x:c>
    </x:row>
    <x:row r="219">
      <x:c r="A219" s="38" t="n">
        <x:v>45291</x:v>
      </x:c>
      <x:c r="B219" t="n">
        <x:v>2023</x:v>
      </x:c>
      <x:c r="C219" t="str">
        <x:v>31.12</x:v>
      </x:c>
      <x:c r="D219" t="str">
        <x:v>Æresmedlem</x:v>
      </x:c>
      <x:c r="E219" s="26" t="n">
        <x:v>8</x:v>
      </x:c>
      <x:c r="F219" s="32" t="b">
        <x:v>0</x:v>
      </x:c>
    </x:row>
    <x:row r="220">
      <x:c r="A220" s="38" t="n">
        <x:v>45291</x:v>
      </x:c>
      <x:c r="B220" t="n">
        <x:v>2023</x:v>
      </x:c>
      <x:c r="C220" t="str">
        <x:v>31.12</x:v>
      </x:c>
      <x:c r="D220" t="str">
        <x:v>DP medlem</x:v>
      </x:c>
      <x:c r="E220" s="26" t="n">
        <x:v>0</x:v>
      </x:c>
      <x:c r="F220" s="32" t="b">
        <x:v>0</x:v>
      </x:c>
    </x:row>
    <x:row r="221">
      <x:c r="A221" s="38" t="n">
        <x:v>45291</x:v>
      </x:c>
      <x:c r="B221" t="n">
        <x:v>2023</x:v>
      </x:c>
      <x:c r="C221" t="str">
        <x:v>31.12</x:v>
      </x:c>
      <x:c r="D221" t="str">
        <x:v>Alle medlemmer</x:v>
      </x:c>
      <x:c r="E221" s="26" t="n">
        <x:v>12051</x:v>
      </x:c>
      <x:c r="F221" s="32" t="b">
        <x:v>1</x:v>
      </x:c>
    </x:row>
    <x:row r="222">
      <x:c r="A222" s="38" t="n">
        <x:v>45322</x:v>
      </x:c>
      <x:c r="B222" t="n">
        <x:v>2024</x:v>
      </x:c>
      <x:c r="C222" t="str">
        <x:v>31.01</x:v>
      </x:c>
      <x:c r="D222" t="str">
        <x:v>Normaltansat over 19 timer</x:v>
      </x:c>
      <x:c r="E222" s="26" t="n">
        <x:v>5411</x:v>
      </x:c>
      <x:c r="F222" s="32" t="b">
        <x:v>0</x:v>
      </x:c>
    </x:row>
    <x:row r="223">
      <x:c r="A223" s="38" t="n">
        <x:v>45322</x:v>
      </x:c>
      <x:c r="B223" t="n">
        <x:v>2024</x:v>
      </x:c>
      <x:c r="C223" t="str">
        <x:v>31.01</x:v>
      </x:c>
      <x:c r="D223" t="str">
        <x:v>Psykologistuderende</x:v>
      </x:c>
      <x:c r="E223" s="26" t="n">
        <x:v>0</x:v>
      </x:c>
      <x:c r="F223" s="32" t="b">
        <x:v>0</x:v>
      </x:c>
    </x:row>
    <x:row r="224">
      <x:c r="A224" s="38" t="n">
        <x:v>45322</x:v>
      </x:c>
      <x:c r="B224" t="n">
        <x:v>2024</x:v>
      </x:c>
      <x:c r="C224" t="str">
        <x:v>31.01</x:v>
      </x:c>
      <x:c r="D224" t="str">
        <x:v>Pensionist DP - Udland</x:v>
      </x:c>
      <x:c r="E224" s="26" t="n">
        <x:v>11</x:v>
      </x:c>
      <x:c r="F224" s="32" t="b">
        <x:v>0</x:v>
      </x:c>
    </x:row>
    <x:row r="225">
      <x:c r="A225" s="38" t="n">
        <x:v>45322</x:v>
      </x:c>
      <x:c r="B225" t="n">
        <x:v>2024</x:v>
      </x:c>
      <x:c r="C225" t="str">
        <x:v>31.01</x:v>
      </x:c>
      <x:c r="D225" t="str">
        <x:v>Ledig DP</x:v>
      </x:c>
      <x:c r="E225" s="26" t="n">
        <x:v>403</x:v>
      </x:c>
      <x:c r="F225" s="32" t="b">
        <x:v>0</x:v>
      </x:c>
    </x:row>
    <x:row r="226">
      <x:c r="A226" s="38" t="n">
        <x:v>45322</x:v>
      </x:c>
      <x:c r="B226" t="n">
        <x:v>2024</x:v>
      </x:c>
      <x:c r="C226" t="str">
        <x:v>31.01</x:v>
      </x:c>
      <x:c r="D226" t="str">
        <x:v>1 og 2 års Kandidater</x:v>
      </x:c>
      <x:c r="E226" s="26" t="n">
        <x:v>546</x:v>
      </x:c>
      <x:c r="F226" s="32" t="b">
        <x:v>0</x:v>
      </x:c>
    </x:row>
    <x:row r="227">
      <x:c r="A227" s="38" t="n">
        <x:v>45322</x:v>
      </x:c>
      <x:c r="B227" t="n">
        <x:v>2024</x:v>
      </x:c>
      <x:c r="C227" t="str">
        <x:v>31.01</x:v>
      </x:c>
      <x:c r="D227" t="str">
        <x:v>Selvstændig</x:v>
      </x:c>
      <x:c r="E227" s="26" t="n">
        <x:v>2376</x:v>
      </x:c>
      <x:c r="F227" s="32" t="b">
        <x:v>0</x:v>
      </x:c>
    </x:row>
    <x:row r="228">
      <x:c r="A228" s="38" t="n">
        <x:v>45322</x:v>
      </x:c>
      <x:c r="B228" t="n">
        <x:v>2024</x:v>
      </x:c>
      <x:c r="C228" t="str">
        <x:v>31.01</x:v>
      </x:c>
      <x:c r="D228" t="str">
        <x:v>Studerende DP</x:v>
      </x:c>
      <x:c r="E228" s="26" t="n">
        <x:v>1624</x:v>
      </x:c>
      <x:c r="F228" s="32" t="b">
        <x:v>0</x:v>
      </x:c>
    </x:row>
    <x:row r="229">
      <x:c r="A229" s="38" t="n">
        <x:v>45322</x:v>
      </x:c>
      <x:c r="B229" t="n">
        <x:v>2024</x:v>
      </x:c>
      <x:c r="C229" t="str">
        <x:v>31.01</x:v>
      </x:c>
      <x:c r="D229" t="str">
        <x:v>Ph.d. studerende</x:v>
      </x:c>
      <x:c r="E229" s="26" t="n">
        <x:v>46</x:v>
      </x:c>
      <x:c r="F229" s="32" t="b">
        <x:v>0</x:v>
      </x:c>
    </x:row>
    <x:row r="230">
      <x:c r="A230" s="38" t="n">
        <x:v>45322</x:v>
      </x:c>
      <x:c r="B230" t="n">
        <x:v>2024</x:v>
      </x:c>
      <x:c r="C230" t="str">
        <x:v>31.01</x:v>
      </x:c>
      <x:c r="D230" t="str">
        <x:v>Orlov uden løn DP</x:v>
      </x:c>
      <x:c r="E230" s="26" t="n">
        <x:v>78</x:v>
      </x:c>
      <x:c r="F230" s="32" t="b">
        <x:v>0</x:v>
      </x:c>
    </x:row>
    <x:row r="231">
      <x:c r="A231" s="38" t="n">
        <x:v>45322</x:v>
      </x:c>
      <x:c r="B231" t="n">
        <x:v>2024</x:v>
      </x:c>
      <x:c r="C231" t="str">
        <x:v>31.01</x:v>
      </x:c>
      <x:c r="D231" t="str">
        <x:v>Udland DP</x:v>
      </x:c>
      <x:c r="E231" s="26" t="n">
        <x:v>54</x:v>
      </x:c>
      <x:c r="F231" s="32" t="b">
        <x:v>0</x:v>
      </x:c>
    </x:row>
    <x:row r="232">
      <x:c r="A232" s="38" t="n">
        <x:v>45322</x:v>
      </x:c>
      <x:c r="B232" t="n">
        <x:v>2024</x:v>
      </x:c>
      <x:c r="C232" t="str">
        <x:v>31.01</x:v>
      </x:c>
      <x:c r="D232" t="str">
        <x:v>Anden forhandlingsret</x:v>
      </x:c>
      <x:c r="E232" s="26" t="n">
        <x:v>24</x:v>
      </x:c>
      <x:c r="F232" s="32" t="b">
        <x:v>0</x:v>
      </x:c>
    </x:row>
    <x:row r="233">
      <x:c r="A233" s="38" t="n">
        <x:v>45322</x:v>
      </x:c>
      <x:c r="B233" t="n">
        <x:v>2024</x:v>
      </x:c>
      <x:c r="C233" t="str">
        <x:v>31.01</x:v>
      </x:c>
      <x:c r="D233" t="str">
        <x:v>Efterløn DP</x:v>
      </x:c>
      <x:c r="E233" s="26" t="n">
        <x:v>18</x:v>
      </x:c>
      <x:c r="F233" s="32" t="b">
        <x:v>0</x:v>
      </x:c>
    </x:row>
    <x:row r="234">
      <x:c r="A234" s="38" t="n">
        <x:v>45322</x:v>
      </x:c>
      <x:c r="B234" t="n">
        <x:v>2024</x:v>
      </x:c>
      <x:c r="C234" t="str">
        <x:v>31.01</x:v>
      </x:c>
      <x:c r="D234" t="str">
        <x:v>DLF og DLF ret</x:v>
      </x:c>
      <x:c r="E234" s="26" t="n">
        <x:v>127</x:v>
      </x:c>
      <x:c r="F234" s="32" t="b">
        <x:v>0</x:v>
      </x:c>
    </x:row>
    <x:row r="235">
      <x:c r="A235" s="38" t="n">
        <x:v>45322</x:v>
      </x:c>
      <x:c r="B235" t="n">
        <x:v>2024</x:v>
      </x:c>
      <x:c r="C235" t="str">
        <x:v>31.01</x:v>
      </x:c>
      <x:c r="D235" t="str">
        <x:v>Ledig ikke ret til dagpenge</x:v>
      </x:c>
      <x:c r="E235" s="26" t="n">
        <x:v>39</x:v>
      </x:c>
      <x:c r="F235" s="32" t="b">
        <x:v>0</x:v>
      </x:c>
    </x:row>
    <x:row r="236">
      <x:c r="A236" s="38" t="n">
        <x:v>45322</x:v>
      </x:c>
      <x:c r="B236" t="n">
        <x:v>2024</x:v>
      </x:c>
      <x:c r="C236" t="str">
        <x:v>31.01</x:v>
      </x:c>
      <x:c r="D236" t="str">
        <x:v>Normaltansat under 20 timer</x:v>
      </x:c>
      <x:c r="E236" s="26" t="n">
        <x:v>116</x:v>
      </x:c>
      <x:c r="F236" s="32" t="b">
        <x:v>0</x:v>
      </x:c>
    </x:row>
    <x:row r="237">
      <x:c r="A237" s="38" t="n">
        <x:v>45322</x:v>
      </x:c>
      <x:c r="B237" t="n">
        <x:v>2024</x:v>
      </x:c>
      <x:c r="C237" t="str">
        <x:v>31.01</x:v>
      </x:c>
      <x:c r="D237" t="str">
        <x:v>DLF og DP ret</x:v>
      </x:c>
      <x:c r="E237" s="26" t="n">
        <x:v>44</x:v>
      </x:c>
      <x:c r="F237" s="32" t="b">
        <x:v>0</x:v>
      </x:c>
    </x:row>
    <x:row r="238">
      <x:c r="A238" s="38" t="n">
        <x:v>45322</x:v>
      </x:c>
      <x:c r="B238" t="n">
        <x:v>2024</x:v>
      </x:c>
      <x:c r="C238" t="str">
        <x:v>31.01</x:v>
      </x:c>
      <x:c r="D238" t="str">
        <x:v>Med løntilskud</x:v>
      </x:c>
      <x:c r="E238" s="26" t="n">
        <x:v>22</x:v>
      </x:c>
      <x:c r="F238" s="32" t="b">
        <x:v>0</x:v>
      </x:c>
    </x:row>
    <x:row r="239">
      <x:c r="A239" s="38" t="n">
        <x:v>45322</x:v>
      </x:c>
      <x:c r="B239" t="n">
        <x:v>2024</x:v>
      </x:c>
      <x:c r="C239" t="str">
        <x:v>31.01</x:v>
      </x:c>
      <x:c r="D239" t="str">
        <x:v>Pensionist DP</x:v>
      </x:c>
      <x:c r="E239" s="26" t="n">
        <x:v>1088</x:v>
      </x:c>
      <x:c r="F239" s="32" t="b">
        <x:v>0</x:v>
      </x:c>
    </x:row>
    <x:row r="240">
      <x:c r="A240" s="38" t="n">
        <x:v>45322</x:v>
      </x:c>
      <x:c r="B240" t="n">
        <x:v>2024</x:v>
      </x:c>
      <x:c r="C240" t="str">
        <x:v>31.01</x:v>
      </x:c>
      <x:c r="D240" t="str">
        <x:v>DM1 Mag. art.</x:v>
      </x:c>
      <x:c r="E240" s="26" t="n">
        <x:v>8</x:v>
      </x:c>
      <x:c r="F240" s="32" t="b">
        <x:v>0</x:v>
      </x:c>
    </x:row>
    <x:row r="241">
      <x:c r="A241" s="38" t="n">
        <x:v>45322</x:v>
      </x:c>
      <x:c r="B241" t="n">
        <x:v>2024</x:v>
      </x:c>
      <x:c r="C241" t="str">
        <x:v>31.01</x:v>
      </x:c>
      <x:c r="D241" t="str">
        <x:v>Æresmedlem</x:v>
      </x:c>
      <x:c r="E241" s="26" t="n">
        <x:v>8</x:v>
      </x:c>
      <x:c r="F241" s="32" t="b">
        <x:v>0</x:v>
      </x:c>
    </x:row>
    <x:row r="242">
      <x:c r="A242" s="38" t="n">
        <x:v>45322</x:v>
      </x:c>
      <x:c r="B242" t="n">
        <x:v>2024</x:v>
      </x:c>
      <x:c r="C242" t="str">
        <x:v>31.01</x:v>
      </x:c>
      <x:c r="D242" t="str">
        <x:v>DP medlem</x:v>
      </x:c>
      <x:c r="E242" s="26" t="n">
        <x:v>0</x:v>
      </x:c>
      <x:c r="F242" s="32" t="b">
        <x:v>0</x:v>
      </x:c>
    </x:row>
    <x:row r="243">
      <x:c r="A243" s="38" t="n">
        <x:v>45322</x:v>
      </x:c>
      <x:c r="B243" t="n">
        <x:v>2024</x:v>
      </x:c>
      <x:c r="C243" t="str">
        <x:v>31.01</x:v>
      </x:c>
      <x:c r="D243" t="str">
        <x:v>Alle medlemmer</x:v>
      </x:c>
      <x:c r="E243" s="26" t="n">
        <x:v>12043</x:v>
      </x:c>
      <x:c r="F243" s="32" t="b">
        <x:v>1</x:v>
      </x:c>
    </x:row>
    <x:row r="244">
      <x:c r="A244" s="38" t="n">
        <x:v>45382</x:v>
      </x:c>
      <x:c r="B244" t="n">
        <x:v>2024</x:v>
      </x:c>
      <x:c r="C244" t="str">
        <x:v>31.03</x:v>
      </x:c>
      <x:c r="D244" t="str">
        <x:v>Normaltansat over 19 timer</x:v>
      </x:c>
      <x:c r="E244" s="26" t="n">
        <x:v>5437</x:v>
      </x:c>
      <x:c r="F244" s="32" t="b">
        <x:v>0</x:v>
      </x:c>
    </x:row>
    <x:row r="245">
      <x:c r="A245" s="38" t="n">
        <x:v>45382</x:v>
      </x:c>
      <x:c r="B245" t="n">
        <x:v>2024</x:v>
      </x:c>
      <x:c r="C245" t="str">
        <x:v>31.03</x:v>
      </x:c>
      <x:c r="D245" t="str">
        <x:v>Psykologistuderende</x:v>
      </x:c>
      <x:c r="E245" s="26" t="n">
        <x:v>0</x:v>
      </x:c>
      <x:c r="F245" s="32" t="b">
        <x:v>0</x:v>
      </x:c>
    </x:row>
    <x:row r="246">
      <x:c r="A246" s="38" t="n">
        <x:v>45382</x:v>
      </x:c>
      <x:c r="B246" t="n">
        <x:v>2024</x:v>
      </x:c>
      <x:c r="C246" t="str">
        <x:v>31.03</x:v>
      </x:c>
      <x:c r="D246" t="str">
        <x:v>Pensionist DP - Udland</x:v>
      </x:c>
      <x:c r="E246" s="26" t="n">
        <x:v>11</x:v>
      </x:c>
      <x:c r="F246" s="32" t="b">
        <x:v>0</x:v>
      </x:c>
    </x:row>
    <x:row r="247">
      <x:c r="A247" s="38" t="n">
        <x:v>45382</x:v>
      </x:c>
      <x:c r="B247" t="n">
        <x:v>2024</x:v>
      </x:c>
      <x:c r="C247" t="str">
        <x:v>31.03</x:v>
      </x:c>
      <x:c r="D247" t="str">
        <x:v>Ledig DP</x:v>
      </x:c>
      <x:c r="E247" s="26" t="n">
        <x:v>429</x:v>
      </x:c>
      <x:c r="F247" s="32" t="b">
        <x:v>0</x:v>
      </x:c>
    </x:row>
    <x:row r="248">
      <x:c r="A248" s="38" t="n">
        <x:v>45382</x:v>
      </x:c>
      <x:c r="B248" t="n">
        <x:v>2024</x:v>
      </x:c>
      <x:c r="C248" t="str">
        <x:v>31.03</x:v>
      </x:c>
      <x:c r="D248" t="str">
        <x:v>1 og 2 års Kandidater</x:v>
      </x:c>
      <x:c r="E248" s="26" t="n">
        <x:v>557</x:v>
      </x:c>
      <x:c r="F248" s="32" t="b">
        <x:v>0</x:v>
      </x:c>
    </x:row>
    <x:row r="249">
      <x:c r="A249" s="38" t="n">
        <x:v>45382</x:v>
      </x:c>
      <x:c r="B249" t="n">
        <x:v>2024</x:v>
      </x:c>
      <x:c r="C249" t="str">
        <x:v>31.03</x:v>
      </x:c>
      <x:c r="D249" t="str">
        <x:v>Selvstændig</x:v>
      </x:c>
      <x:c r="E249" s="26" t="n">
        <x:v>2379</x:v>
      </x:c>
      <x:c r="F249" s="32" t="b">
        <x:v>0</x:v>
      </x:c>
    </x:row>
    <x:row r="250">
      <x:c r="A250" s="38" t="n">
        <x:v>45382</x:v>
      </x:c>
      <x:c r="B250" t="n">
        <x:v>2024</x:v>
      </x:c>
      <x:c r="C250" t="str">
        <x:v>31.03</x:v>
      </x:c>
      <x:c r="D250" t="str">
        <x:v>Studerende DP</x:v>
      </x:c>
      <x:c r="E250" s="26" t="n">
        <x:v>1567</x:v>
      </x:c>
      <x:c r="F250" s="32" t="b">
        <x:v>0</x:v>
      </x:c>
    </x:row>
    <x:row r="251">
      <x:c r="A251" s="38" t="n">
        <x:v>45382</x:v>
      </x:c>
      <x:c r="B251" t="n">
        <x:v>2024</x:v>
      </x:c>
      <x:c r="C251" t="str">
        <x:v>31.03</x:v>
      </x:c>
      <x:c r="D251" t="str">
        <x:v>Ph.d. studerende</x:v>
      </x:c>
      <x:c r="E251" s="26" t="n">
        <x:v>46</x:v>
      </x:c>
      <x:c r="F251" s="32" t="b">
        <x:v>0</x:v>
      </x:c>
    </x:row>
    <x:row r="252">
      <x:c r="A252" s="38" t="n">
        <x:v>45382</x:v>
      </x:c>
      <x:c r="B252" t="n">
        <x:v>2024</x:v>
      </x:c>
      <x:c r="C252" t="str">
        <x:v>31.03</x:v>
      </x:c>
      <x:c r="D252" t="str">
        <x:v>Orlov uden løn DP</x:v>
      </x:c>
      <x:c r="E252" s="26" t="n">
        <x:v>74</x:v>
      </x:c>
      <x:c r="F252" s="32" t="b">
        <x:v>0</x:v>
      </x:c>
    </x:row>
    <x:row r="253">
      <x:c r="A253" s="38" t="n">
        <x:v>45382</x:v>
      </x:c>
      <x:c r="B253" t="n">
        <x:v>2024</x:v>
      </x:c>
      <x:c r="C253" t="str">
        <x:v>31.03</x:v>
      </x:c>
      <x:c r="D253" t="str">
        <x:v>Udland DP</x:v>
      </x:c>
      <x:c r="E253" s="26" t="n">
        <x:v>56</x:v>
      </x:c>
      <x:c r="F253" s="32" t="b">
        <x:v>0</x:v>
      </x:c>
    </x:row>
    <x:row r="254">
      <x:c r="A254" s="38" t="n">
        <x:v>45382</x:v>
      </x:c>
      <x:c r="B254" t="n">
        <x:v>2024</x:v>
      </x:c>
      <x:c r="C254" t="str">
        <x:v>31.03</x:v>
      </x:c>
      <x:c r="D254" t="str">
        <x:v>Anden forhandlingsret</x:v>
      </x:c>
      <x:c r="E254" s="26" t="n">
        <x:v>24</x:v>
      </x:c>
      <x:c r="F254" s="32" t="b">
        <x:v>0</x:v>
      </x:c>
    </x:row>
    <x:row r="255">
      <x:c r="A255" s="38" t="n">
        <x:v>45382</x:v>
      </x:c>
      <x:c r="B255" t="n">
        <x:v>2024</x:v>
      </x:c>
      <x:c r="C255" t="str">
        <x:v>31.03</x:v>
      </x:c>
      <x:c r="D255" t="str">
        <x:v>Efterløn DP</x:v>
      </x:c>
      <x:c r="E255" s="26" t="n">
        <x:v>19</x:v>
      </x:c>
      <x:c r="F255" s="32" t="b">
        <x:v>0</x:v>
      </x:c>
    </x:row>
    <x:row r="256">
      <x:c r="A256" s="38" t="n">
        <x:v>45382</x:v>
      </x:c>
      <x:c r="B256" t="n">
        <x:v>2024</x:v>
      </x:c>
      <x:c r="C256" t="str">
        <x:v>31.03</x:v>
      </x:c>
      <x:c r="D256" t="str">
        <x:v>DLF og DLF ret</x:v>
      </x:c>
      <x:c r="E256" s="26" t="n">
        <x:v>127</x:v>
      </x:c>
      <x:c r="F256" s="32" t="b">
        <x:v>0</x:v>
      </x:c>
    </x:row>
    <x:row r="257">
      <x:c r="A257" s="38" t="n">
        <x:v>45382</x:v>
      </x:c>
      <x:c r="B257" t="n">
        <x:v>2024</x:v>
      </x:c>
      <x:c r="C257" t="str">
        <x:v>31.03</x:v>
      </x:c>
      <x:c r="D257" t="str">
        <x:v>Ledig ikke ret til dagpenge</x:v>
      </x:c>
      <x:c r="E257" s="26" t="n">
        <x:v>41</x:v>
      </x:c>
      <x:c r="F257" s="32" t="b">
        <x:v>0</x:v>
      </x:c>
    </x:row>
    <x:row r="258">
      <x:c r="A258" s="38" t="n">
        <x:v>45382</x:v>
      </x:c>
      <x:c r="B258" t="n">
        <x:v>2024</x:v>
      </x:c>
      <x:c r="C258" t="str">
        <x:v>31.03</x:v>
      </x:c>
      <x:c r="D258" t="str">
        <x:v>Normaltansat under 20 timer</x:v>
      </x:c>
      <x:c r="E258" s="26" t="n">
        <x:v>112</x:v>
      </x:c>
      <x:c r="F258" s="32" t="b">
        <x:v>0</x:v>
      </x:c>
    </x:row>
    <x:row r="259">
      <x:c r="A259" s="38" t="n">
        <x:v>45382</x:v>
      </x:c>
      <x:c r="B259" t="n">
        <x:v>2024</x:v>
      </x:c>
      <x:c r="C259" t="str">
        <x:v>31.03</x:v>
      </x:c>
      <x:c r="D259" t="str">
        <x:v>DLF og DP ret</x:v>
      </x:c>
      <x:c r="E259" s="26" t="n">
        <x:v>41</x:v>
      </x:c>
      <x:c r="F259" s="32" t="b">
        <x:v>0</x:v>
      </x:c>
    </x:row>
    <x:row r="260">
      <x:c r="A260" s="38" t="n">
        <x:v>45382</x:v>
      </x:c>
      <x:c r="B260" t="n">
        <x:v>2024</x:v>
      </x:c>
      <x:c r="C260" t="str">
        <x:v>31.03</x:v>
      </x:c>
      <x:c r="D260" t="str">
        <x:v>Med løntilskud</x:v>
      </x:c>
      <x:c r="E260" s="26" t="n">
        <x:v>22</x:v>
      </x:c>
      <x:c r="F260" s="32" t="b">
        <x:v>0</x:v>
      </x:c>
    </x:row>
    <x:row r="261">
      <x:c r="A261" s="38" t="n">
        <x:v>45382</x:v>
      </x:c>
      <x:c r="B261" t="n">
        <x:v>2024</x:v>
      </x:c>
      <x:c r="C261" t="str">
        <x:v>31.03</x:v>
      </x:c>
      <x:c r="D261" t="str">
        <x:v>Pensionist DP</x:v>
      </x:c>
      <x:c r="E261" s="26" t="n">
        <x:v>1083</x:v>
      </x:c>
      <x:c r="F261" s="32" t="b">
        <x:v>0</x:v>
      </x:c>
    </x:row>
    <x:row r="262">
      <x:c r="A262" s="38" t="n">
        <x:v>45382</x:v>
      </x:c>
      <x:c r="B262" t="n">
        <x:v>2024</x:v>
      </x:c>
      <x:c r="C262" t="str">
        <x:v>31.03</x:v>
      </x:c>
      <x:c r="D262" t="str">
        <x:v>DM1 Mag. art.</x:v>
      </x:c>
      <x:c r="E262" s="26" t="n">
        <x:v>6</x:v>
      </x:c>
      <x:c r="F262" s="32" t="b">
        <x:v>0</x:v>
      </x:c>
    </x:row>
    <x:row r="263">
      <x:c r="A263" s="38" t="n">
        <x:v>45382</x:v>
      </x:c>
      <x:c r="B263" t="n">
        <x:v>2024</x:v>
      </x:c>
      <x:c r="C263" t="str">
        <x:v>31.03</x:v>
      </x:c>
      <x:c r="D263" t="str">
        <x:v>Æresmedlem</x:v>
      </x:c>
      <x:c r="E263" s="26" t="n">
        <x:v>8</x:v>
      </x:c>
      <x:c r="F263" s="32" t="b">
        <x:v>0</x:v>
      </x:c>
    </x:row>
    <x:row r="264">
      <x:c r="A264" s="38" t="n">
        <x:v>45382</x:v>
      </x:c>
      <x:c r="B264" t="n">
        <x:v>2024</x:v>
      </x:c>
      <x:c r="C264" t="str">
        <x:v>31.03</x:v>
      </x:c>
      <x:c r="D264" t="str">
        <x:v>DP medlem</x:v>
      </x:c>
      <x:c r="E264" s="26" t="n">
        <x:v>0</x:v>
      </x:c>
      <x:c r="F264" s="32" t="b">
        <x:v>0</x:v>
      </x:c>
    </x:row>
    <x:row r="265">
      <x:c r="A265" s="38" t="n">
        <x:v>45382</x:v>
      </x:c>
      <x:c r="B265" t="n">
        <x:v>2024</x:v>
      </x:c>
      <x:c r="C265" t="str">
        <x:v>31.03</x:v>
      </x:c>
      <x:c r="D265" t="str">
        <x:v>Alle medlemmer</x:v>
      </x:c>
      <x:c r="E265" s="26" t="n">
        <x:v>12039</x:v>
      </x:c>
      <x:c r="F265" s="32" t="b">
        <x:v>1</x:v>
      </x:c>
    </x:row>
    <x:row r="266">
      <x:c r="A266" s="38" t="n">
        <x:v>45473</x:v>
      </x:c>
      <x:c r="B266" t="n">
        <x:v>2024</x:v>
      </x:c>
      <x:c r="C266" t="str">
        <x:v>30.06</x:v>
      </x:c>
      <x:c r="D266" t="str">
        <x:v>Normaltansat over 19 timer</x:v>
      </x:c>
      <x:c r="E266" s="26" t="n">
        <x:v>5423</x:v>
      </x:c>
      <x:c r="F266" s="32" t="b">
        <x:v>0</x:v>
      </x:c>
    </x:row>
    <x:row r="267">
      <x:c r="A267" s="38" t="n">
        <x:v>45473</x:v>
      </x:c>
      <x:c r="B267" t="n">
        <x:v>2024</x:v>
      </x:c>
      <x:c r="C267" t="str">
        <x:v>30.06</x:v>
      </x:c>
      <x:c r="D267" t="str">
        <x:v>Psykologistuderende</x:v>
      </x:c>
      <x:c r="E267" s="26" t="n">
        <x:v>0</x:v>
      </x:c>
      <x:c r="F267" s="32" t="b">
        <x:v>0</x:v>
      </x:c>
    </x:row>
    <x:row r="268">
      <x:c r="A268" s="38" t="n">
        <x:v>45473</x:v>
      </x:c>
      <x:c r="B268" t="n">
        <x:v>2024</x:v>
      </x:c>
      <x:c r="C268" t="str">
        <x:v>30.06</x:v>
      </x:c>
      <x:c r="D268" t="str">
        <x:v>Pensionist DP - Udland</x:v>
      </x:c>
      <x:c r="E268" s="26" t="n">
        <x:v>13</x:v>
      </x:c>
      <x:c r="F268" s="32" t="b">
        <x:v>0</x:v>
      </x:c>
    </x:row>
    <x:row r="269">
      <x:c r="A269" s="38" t="n">
        <x:v>45473</x:v>
      </x:c>
      <x:c r="B269" t="n">
        <x:v>2024</x:v>
      </x:c>
      <x:c r="C269" t="str">
        <x:v>30.06</x:v>
      </x:c>
      <x:c r="D269" t="str">
        <x:v>Ledig DP</x:v>
      </x:c>
      <x:c r="E269" s="26" t="n">
        <x:v>414</x:v>
      </x:c>
      <x:c r="F269" s="32" t="b">
        <x:v>0</x:v>
      </x:c>
    </x:row>
    <x:row r="270">
      <x:c r="A270" s="38" t="n">
        <x:v>45473</x:v>
      </x:c>
      <x:c r="B270" t="n">
        <x:v>2024</x:v>
      </x:c>
      <x:c r="C270" t="str">
        <x:v>30.06</x:v>
      </x:c>
      <x:c r="D270" t="str">
        <x:v>1 og 2 års Kandidater</x:v>
      </x:c>
      <x:c r="E270" s="26" t="n">
        <x:v>596</x:v>
      </x:c>
      <x:c r="F270" s="32" t="b">
        <x:v>0</x:v>
      </x:c>
    </x:row>
    <x:row r="271">
      <x:c r="A271" s="38" t="n">
        <x:v>45473</x:v>
      </x:c>
      <x:c r="B271" t="n">
        <x:v>2024</x:v>
      </x:c>
      <x:c r="C271" t="str">
        <x:v>30.06</x:v>
      </x:c>
      <x:c r="D271" t="str">
        <x:v>Selvstændig</x:v>
      </x:c>
      <x:c r="E271" s="26" t="n">
        <x:v>2387</x:v>
      </x:c>
      <x:c r="F271" s="32" t="b">
        <x:v>0</x:v>
      </x:c>
    </x:row>
    <x:row r="272">
      <x:c r="A272" s="38" t="n">
        <x:v>45473</x:v>
      </x:c>
      <x:c r="B272" t="n">
        <x:v>2024</x:v>
      </x:c>
      <x:c r="C272" t="str">
        <x:v>30.06</x:v>
      </x:c>
      <x:c r="D272" t="str">
        <x:v>Studerende DP</x:v>
      </x:c>
      <x:c r="E272" s="26" t="n">
        <x:v>1588</x:v>
      </x:c>
      <x:c r="F272" s="32" t="b">
        <x:v>0</x:v>
      </x:c>
    </x:row>
    <x:row r="273">
      <x:c r="A273" s="38" t="n">
        <x:v>45473</x:v>
      </x:c>
      <x:c r="B273" t="n">
        <x:v>2024</x:v>
      </x:c>
      <x:c r="C273" t="str">
        <x:v>30.06</x:v>
      </x:c>
      <x:c r="D273" t="str">
        <x:v>Ph.d. studerende</x:v>
      </x:c>
      <x:c r="E273" s="26" t="n">
        <x:v>46</x:v>
      </x:c>
      <x:c r="F273" s="32" t="b">
        <x:v>0</x:v>
      </x:c>
    </x:row>
    <x:row r="274">
      <x:c r="A274" s="38" t="n">
        <x:v>45473</x:v>
      </x:c>
      <x:c r="B274" t="n">
        <x:v>2024</x:v>
      </x:c>
      <x:c r="C274" t="str">
        <x:v>30.06</x:v>
      </x:c>
      <x:c r="D274" t="str">
        <x:v>Orlov uden løn DP</x:v>
      </x:c>
      <x:c r="E274" s="26" t="n">
        <x:v>69</x:v>
      </x:c>
      <x:c r="F274" s="32" t="b">
        <x:v>0</x:v>
      </x:c>
    </x:row>
    <x:row r="275">
      <x:c r="A275" s="38" t="n">
        <x:v>45473</x:v>
      </x:c>
      <x:c r="B275" t="n">
        <x:v>2024</x:v>
      </x:c>
      <x:c r="C275" t="str">
        <x:v>30.06</x:v>
      </x:c>
      <x:c r="D275" t="str">
        <x:v>Udland DP</x:v>
      </x:c>
      <x:c r="E275" s="26" t="n">
        <x:v>59</x:v>
      </x:c>
      <x:c r="F275" s="32" t="b">
        <x:v>0</x:v>
      </x:c>
    </x:row>
    <x:row r="276">
      <x:c r="A276" s="38" t="n">
        <x:v>45473</x:v>
      </x:c>
      <x:c r="B276" t="n">
        <x:v>2024</x:v>
      </x:c>
      <x:c r="C276" t="str">
        <x:v>30.06</x:v>
      </x:c>
      <x:c r="D276" t="str">
        <x:v>Anden forhandlingsret</x:v>
      </x:c>
      <x:c r="E276" s="26" t="n">
        <x:v>23</x:v>
      </x:c>
      <x:c r="F276" s="32" t="b">
        <x:v>0</x:v>
      </x:c>
    </x:row>
    <x:row r="277">
      <x:c r="A277" s="38" t="n">
        <x:v>45473</x:v>
      </x:c>
      <x:c r="B277" t="n">
        <x:v>2024</x:v>
      </x:c>
      <x:c r="C277" t="str">
        <x:v>30.06</x:v>
      </x:c>
      <x:c r="D277" t="str">
        <x:v>Efterløn DP</x:v>
      </x:c>
      <x:c r="E277" s="26" t="n">
        <x:v>17</x:v>
      </x:c>
      <x:c r="F277" s="32" t="b">
        <x:v>0</x:v>
      </x:c>
    </x:row>
    <x:row r="278">
      <x:c r="A278" s="38" t="n">
        <x:v>45473</x:v>
      </x:c>
      <x:c r="B278" t="n">
        <x:v>2024</x:v>
      </x:c>
      <x:c r="C278" t="str">
        <x:v>30.06</x:v>
      </x:c>
      <x:c r="D278" t="str">
        <x:v>DLF og DLF ret</x:v>
      </x:c>
      <x:c r="E278" s="26" t="n">
        <x:v>128</x:v>
      </x:c>
      <x:c r="F278" s="32" t="b">
        <x:v>0</x:v>
      </x:c>
    </x:row>
    <x:row r="279">
      <x:c r="A279" s="38" t="n">
        <x:v>45473</x:v>
      </x:c>
      <x:c r="B279" t="n">
        <x:v>2024</x:v>
      </x:c>
      <x:c r="C279" t="str">
        <x:v>30.06</x:v>
      </x:c>
      <x:c r="D279" t="str">
        <x:v>Ledig ikke ret til dagpenge</x:v>
      </x:c>
      <x:c r="E279" s="26" t="n">
        <x:v>43</x:v>
      </x:c>
      <x:c r="F279" s="32" t="b">
        <x:v>0</x:v>
      </x:c>
    </x:row>
    <x:row r="280">
      <x:c r="A280" s="38" t="n">
        <x:v>45473</x:v>
      </x:c>
      <x:c r="B280" t="n">
        <x:v>2024</x:v>
      </x:c>
      <x:c r="C280" t="str">
        <x:v>30.06</x:v>
      </x:c>
      <x:c r="D280" t="str">
        <x:v>Normaltansat under 20 timer</x:v>
      </x:c>
      <x:c r="E280" s="26" t="n">
        <x:v>111</x:v>
      </x:c>
      <x:c r="F280" s="32" t="b">
        <x:v>0</x:v>
      </x:c>
    </x:row>
    <x:row r="281">
      <x:c r="A281" s="38" t="n">
        <x:v>45473</x:v>
      </x:c>
      <x:c r="B281" t="n">
        <x:v>2024</x:v>
      </x:c>
      <x:c r="C281" t="str">
        <x:v>30.06</x:v>
      </x:c>
      <x:c r="D281" t="str">
        <x:v>DLF og DP ret</x:v>
      </x:c>
      <x:c r="E281" s="26" t="n">
        <x:v>40</x:v>
      </x:c>
      <x:c r="F281" s="32" t="b">
        <x:v>0</x:v>
      </x:c>
    </x:row>
    <x:row r="282">
      <x:c r="A282" s="38" t="n">
        <x:v>45473</x:v>
      </x:c>
      <x:c r="B282" t="n">
        <x:v>2024</x:v>
      </x:c>
      <x:c r="C282" t="str">
        <x:v>30.06</x:v>
      </x:c>
      <x:c r="D282" t="str">
        <x:v>Med løntilskud</x:v>
      </x:c>
      <x:c r="E282" s="26" t="n">
        <x:v>20</x:v>
      </x:c>
      <x:c r="F282" s="32" t="b">
        <x:v>0</x:v>
      </x:c>
    </x:row>
    <x:row r="283">
      <x:c r="A283" s="38" t="n">
        <x:v>45473</x:v>
      </x:c>
      <x:c r="B283" t="n">
        <x:v>2024</x:v>
      </x:c>
      <x:c r="C283" t="str">
        <x:v>30.06</x:v>
      </x:c>
      <x:c r="D283" t="str">
        <x:v>Pensionist DP</x:v>
      </x:c>
      <x:c r="E283" s="26" t="n">
        <x:v>1074</x:v>
      </x:c>
      <x:c r="F283" s="32" t="b">
        <x:v>0</x:v>
      </x:c>
    </x:row>
    <x:row r="284">
      <x:c r="A284" s="38" t="n">
        <x:v>45473</x:v>
      </x:c>
      <x:c r="B284" t="n">
        <x:v>2024</x:v>
      </x:c>
      <x:c r="C284" t="str">
        <x:v>30.06</x:v>
      </x:c>
      <x:c r="D284" t="str">
        <x:v>DM1 Mag. art.</x:v>
      </x:c>
      <x:c r="E284" s="26" t="n">
        <x:v>6</x:v>
      </x:c>
      <x:c r="F284" s="32" t="b">
        <x:v>0</x:v>
      </x:c>
    </x:row>
    <x:row r="285">
      <x:c r="A285" s="38" t="n">
        <x:v>45473</x:v>
      </x:c>
      <x:c r="B285" t="n">
        <x:v>2024</x:v>
      </x:c>
      <x:c r="C285" t="str">
        <x:v>30.06</x:v>
      </x:c>
      <x:c r="D285" t="str">
        <x:v>Æresmedlem</x:v>
      </x:c>
      <x:c r="E285" s="26" t="n">
        <x:v>8</x:v>
      </x:c>
      <x:c r="F285" s="32" t="b">
        <x:v>0</x:v>
      </x:c>
    </x:row>
    <x:row r="286">
      <x:c r="A286" s="38" t="n">
        <x:v>45473</x:v>
      </x:c>
      <x:c r="B286" t="n">
        <x:v>2024</x:v>
      </x:c>
      <x:c r="C286" t="str">
        <x:v>30.06</x:v>
      </x:c>
      <x:c r="D286" t="str">
        <x:v>DP medlem</x:v>
      </x:c>
      <x:c r="E286" s="26" t="n">
        <x:v>0</x:v>
      </x:c>
      <x:c r="F286" s="32" t="b">
        <x:v>0</x:v>
      </x:c>
    </x:row>
    <x:row r="287">
      <x:c r="A287" s="38" t="n">
        <x:v>45473</x:v>
      </x:c>
      <x:c r="B287" t="n">
        <x:v>2024</x:v>
      </x:c>
      <x:c r="C287" t="str">
        <x:v>30.06</x:v>
      </x:c>
      <x:c r="D287" t="str">
        <x:v>Alle medlemmer</x:v>
      </x:c>
      <x:c r="E287" s="26" t="n">
        <x:v>12065</x:v>
      </x:c>
      <x:c r="F287" s="32" t="b">
        <x:v>1</x:v>
      </x:c>
    </x:row>
    <x:row r="288">
      <x:c r="A288" s="38" t="n">
        <x:v>45565</x:v>
      </x:c>
      <x:c r="B288" t="n">
        <x:v>2024</x:v>
      </x:c>
      <x:c r="C288" t="str">
        <x:v>30.09</x:v>
      </x:c>
      <x:c r="D288" t="str">
        <x:v>Normaltansat over 19 timer</x:v>
      </x:c>
      <x:c r="E288" s="26" t="n">
        <x:v>5564</x:v>
      </x:c>
      <x:c r="F288" s="32" t="b">
        <x:v>0</x:v>
      </x:c>
    </x:row>
    <x:row r="289">
      <x:c r="A289" s="38" t="n">
        <x:v>45565</x:v>
      </x:c>
      <x:c r="B289" t="n">
        <x:v>2024</x:v>
      </x:c>
      <x:c r="C289" t="str">
        <x:v>30.09</x:v>
      </x:c>
      <x:c r="D289" t="str">
        <x:v>Psykologistuderende</x:v>
      </x:c>
      <x:c r="E289" s="26" t="n">
        <x:v>0</x:v>
      </x:c>
      <x:c r="F289" s="32" t="b">
        <x:v>0</x:v>
      </x:c>
    </x:row>
    <x:row r="290">
      <x:c r="A290" s="38" t="n">
        <x:v>45565</x:v>
      </x:c>
      <x:c r="B290" t="n">
        <x:v>2024</x:v>
      </x:c>
      <x:c r="C290" t="str">
        <x:v>30.09</x:v>
      </x:c>
      <x:c r="D290" t="str">
        <x:v>Pensionist DP - Udland</x:v>
      </x:c>
      <x:c r="E290" s="26" t="n">
        <x:v>15</x:v>
      </x:c>
      <x:c r="F290" s="32" t="b">
        <x:v>0</x:v>
      </x:c>
    </x:row>
    <x:row r="291">
      <x:c r="A291" s="38" t="n">
        <x:v>45565</x:v>
      </x:c>
      <x:c r="B291" t="n">
        <x:v>2024</x:v>
      </x:c>
      <x:c r="C291" t="str">
        <x:v>30.09</x:v>
      </x:c>
      <x:c r="D291" t="str">
        <x:v>Ledig DP</x:v>
      </x:c>
      <x:c r="E291" s="26" t="n">
        <x:v>462</x:v>
      </x:c>
      <x:c r="F291" s="32" t="b">
        <x:v>0</x:v>
      </x:c>
    </x:row>
    <x:row r="292">
      <x:c r="A292" s="38" t="n">
        <x:v>45565</x:v>
      </x:c>
      <x:c r="B292" t="n">
        <x:v>2024</x:v>
      </x:c>
      <x:c r="C292" t="str">
        <x:v>30.09</x:v>
      </x:c>
      <x:c r="D292" t="str">
        <x:v>1 og 2 års Kandidater</x:v>
      </x:c>
      <x:c r="E292" s="26" t="n">
        <x:v>554</x:v>
      </x:c>
      <x:c r="F292" s="32" t="b">
        <x:v>0</x:v>
      </x:c>
    </x:row>
    <x:row r="293">
      <x:c r="A293" s="38" t="n">
        <x:v>45565</x:v>
      </x:c>
      <x:c r="B293" t="n">
        <x:v>2024</x:v>
      </x:c>
      <x:c r="C293" t="str">
        <x:v>30.09</x:v>
      </x:c>
      <x:c r="D293" t="str">
        <x:v>Selvstændig</x:v>
      </x:c>
      <x:c r="E293" s="26" t="n">
        <x:v>2381</x:v>
      </x:c>
      <x:c r="F293" s="32" t="b">
        <x:v>0</x:v>
      </x:c>
    </x:row>
    <x:row r="294">
      <x:c r="A294" s="38" t="n">
        <x:v>45565</x:v>
      </x:c>
      <x:c r="B294" t="n">
        <x:v>2024</x:v>
      </x:c>
      <x:c r="C294" t="str">
        <x:v>30.09</x:v>
      </x:c>
      <x:c r="D294" t="str">
        <x:v>Studerende DP</x:v>
      </x:c>
      <x:c r="E294" s="26" t="n">
        <x:v>1903</x:v>
      </x:c>
      <x:c r="F294" s="32" t="b">
        <x:v>0</x:v>
      </x:c>
    </x:row>
    <x:row r="295">
      <x:c r="A295" s="38" t="n">
        <x:v>45565</x:v>
      </x:c>
      <x:c r="B295" t="n">
        <x:v>2024</x:v>
      </x:c>
      <x:c r="C295" t="str">
        <x:v>30.09</x:v>
      </x:c>
      <x:c r="D295" t="str">
        <x:v>Ph.d. studerende</x:v>
      </x:c>
      <x:c r="E295" s="26" t="n">
        <x:v>45</x:v>
      </x:c>
      <x:c r="F295" s="32" t="b">
        <x:v>0</x:v>
      </x:c>
    </x:row>
    <x:row r="296">
      <x:c r="A296" s="38" t="n">
        <x:v>45565</x:v>
      </x:c>
      <x:c r="B296" t="n">
        <x:v>2024</x:v>
      </x:c>
      <x:c r="C296" t="str">
        <x:v>30.09</x:v>
      </x:c>
      <x:c r="D296" t="str">
        <x:v>Orlov uden løn DP</x:v>
      </x:c>
      <x:c r="E296" s="26" t="n">
        <x:v>52</x:v>
      </x:c>
      <x:c r="F296" s="32" t="b">
        <x:v>0</x:v>
      </x:c>
    </x:row>
    <x:row r="297">
      <x:c r="A297" s="38" t="n">
        <x:v>45565</x:v>
      </x:c>
      <x:c r="B297" t="n">
        <x:v>2024</x:v>
      </x:c>
      <x:c r="C297" t="str">
        <x:v>30.09</x:v>
      </x:c>
      <x:c r="D297" t="str">
        <x:v>Udland DP</x:v>
      </x:c>
      <x:c r="E297" s="26" t="n">
        <x:v>58</x:v>
      </x:c>
      <x:c r="F297" s="32" t="b">
        <x:v>0</x:v>
      </x:c>
    </x:row>
    <x:row r="298">
      <x:c r="A298" s="38" t="n">
        <x:v>45565</x:v>
      </x:c>
      <x:c r="B298" t="n">
        <x:v>2024</x:v>
      </x:c>
      <x:c r="C298" t="str">
        <x:v>30.09</x:v>
      </x:c>
      <x:c r="D298" t="str">
        <x:v>Anden forhandlingsret</x:v>
      </x:c>
      <x:c r="E298" s="26" t="n">
        <x:v>24</x:v>
      </x:c>
      <x:c r="F298" s="32" t="b">
        <x:v>0</x:v>
      </x:c>
    </x:row>
    <x:row r="299">
      <x:c r="A299" s="38" t="n">
        <x:v>45565</x:v>
      </x:c>
      <x:c r="B299" t="n">
        <x:v>2024</x:v>
      </x:c>
      <x:c r="C299" t="str">
        <x:v>30.09</x:v>
      </x:c>
      <x:c r="D299" t="str">
        <x:v>Efterløn DP</x:v>
      </x:c>
      <x:c r="E299" s="26" t="n">
        <x:v>17</x:v>
      </x:c>
      <x:c r="F299" s="32" t="b">
        <x:v>0</x:v>
      </x:c>
    </x:row>
    <x:row r="300">
      <x:c r="A300" s="38" t="n">
        <x:v>45565</x:v>
      </x:c>
      <x:c r="B300" t="n">
        <x:v>2024</x:v>
      </x:c>
      <x:c r="C300" t="str">
        <x:v>30.09</x:v>
      </x:c>
      <x:c r="D300" t="str">
        <x:v>DLF og DLF ret</x:v>
      </x:c>
      <x:c r="E300" s="26" t="n">
        <x:v>122</x:v>
      </x:c>
      <x:c r="F300" s="32" t="b">
        <x:v>0</x:v>
      </x:c>
    </x:row>
    <x:row r="301">
      <x:c r="A301" s="38" t="n">
        <x:v>45565</x:v>
      </x:c>
      <x:c r="B301" t="n">
        <x:v>2024</x:v>
      </x:c>
      <x:c r="C301" t="str">
        <x:v>30.09</x:v>
      </x:c>
      <x:c r="D301" t="str">
        <x:v>Ledig ikke ret til dagpenge</x:v>
      </x:c>
      <x:c r="E301" s="26" t="n">
        <x:v>44</x:v>
      </x:c>
      <x:c r="F301" s="32" t="b">
        <x:v>0</x:v>
      </x:c>
    </x:row>
    <x:row r="302">
      <x:c r="A302" s="38" t="n">
        <x:v>45565</x:v>
      </x:c>
      <x:c r="B302" t="n">
        <x:v>2024</x:v>
      </x:c>
      <x:c r="C302" t="str">
        <x:v>30.09</x:v>
      </x:c>
      <x:c r="D302" t="str">
        <x:v>Normaltansat under 20 timer</x:v>
      </x:c>
      <x:c r="E302" s="26" t="n">
        <x:v>111</x:v>
      </x:c>
      <x:c r="F302" s="32" t="b">
        <x:v>0</x:v>
      </x:c>
    </x:row>
    <x:row r="303">
      <x:c r="A303" s="38" t="n">
        <x:v>45565</x:v>
      </x:c>
      <x:c r="B303" t="n">
        <x:v>2024</x:v>
      </x:c>
      <x:c r="C303" t="str">
        <x:v>30.09</x:v>
      </x:c>
      <x:c r="D303" t="str">
        <x:v>DLF og DP ret</x:v>
      </x:c>
      <x:c r="E303" s="26" t="n">
        <x:v>43</x:v>
      </x:c>
      <x:c r="F303" s="32" t="b">
        <x:v>0</x:v>
      </x:c>
    </x:row>
    <x:row r="304">
      <x:c r="A304" s="38" t="n">
        <x:v>45565</x:v>
      </x:c>
      <x:c r="B304" t="n">
        <x:v>2024</x:v>
      </x:c>
      <x:c r="C304" t="str">
        <x:v>30.09</x:v>
      </x:c>
      <x:c r="D304" t="str">
        <x:v>Med løntilskud</x:v>
      </x:c>
      <x:c r="E304" s="26" t="n">
        <x:v>19</x:v>
      </x:c>
      <x:c r="F304" s="32" t="b">
        <x:v>0</x:v>
      </x:c>
    </x:row>
    <x:row r="305">
      <x:c r="A305" s="38" t="n">
        <x:v>45565</x:v>
      </x:c>
      <x:c r="B305" t="n">
        <x:v>2024</x:v>
      </x:c>
      <x:c r="C305" t="str">
        <x:v>30.09</x:v>
      </x:c>
      <x:c r="D305" t="str">
        <x:v>Pensionist DP</x:v>
      </x:c>
      <x:c r="E305" s="26" t="n">
        <x:v>1077</x:v>
      </x:c>
      <x:c r="F305" s="32" t="b">
        <x:v>0</x:v>
      </x:c>
    </x:row>
    <x:row r="306">
      <x:c r="A306" s="38" t="n">
        <x:v>45565</x:v>
      </x:c>
      <x:c r="B306" t="n">
        <x:v>2024</x:v>
      </x:c>
      <x:c r="C306" t="str">
        <x:v>30.09</x:v>
      </x:c>
      <x:c r="D306" t="str">
        <x:v>DM1 Mag. art.</x:v>
      </x:c>
      <x:c r="E306" s="26" t="n">
        <x:v>6</x:v>
      </x:c>
      <x:c r="F306" s="32" t="b">
        <x:v>0</x:v>
      </x:c>
    </x:row>
    <x:row r="307">
      <x:c r="A307" s="38" t="n">
        <x:v>45565</x:v>
      </x:c>
      <x:c r="B307" t="n">
        <x:v>2024</x:v>
      </x:c>
      <x:c r="C307" t="str">
        <x:v>30.09</x:v>
      </x:c>
      <x:c r="D307" t="str">
        <x:v>Æresmedlem</x:v>
      </x:c>
      <x:c r="E307" s="26" t="n">
        <x:v>8</x:v>
      </x:c>
      <x:c r="F307" s="32" t="b">
        <x:v>0</x:v>
      </x:c>
    </x:row>
    <x:row r="308">
      <x:c r="A308" s="38" t="n">
        <x:v>45565</x:v>
      </x:c>
      <x:c r="B308" t="n">
        <x:v>2024</x:v>
      </x:c>
      <x:c r="C308" t="str">
        <x:v>30.09</x:v>
      </x:c>
      <x:c r="D308" t="str">
        <x:v>DP medlem</x:v>
      </x:c>
      <x:c r="E308" s="26" t="n">
        <x:v>0</x:v>
      </x:c>
      <x:c r="F308" s="32" t="b">
        <x:v>0</x:v>
      </x:c>
    </x:row>
    <x:row r="309">
      <x:c r="A309" s="38" t="n">
        <x:v>45565</x:v>
      </x:c>
      <x:c r="B309" t="n">
        <x:v>2024</x:v>
      </x:c>
      <x:c r="C309" t="str">
        <x:v>30.09</x:v>
      </x:c>
      <x:c r="D309" t="str">
        <x:v>Alle medlemmer</x:v>
      </x:c>
      <x:c r="E309" s="26" t="n">
        <x:v>12505</x:v>
      </x:c>
      <x:c r="F309" s="32" t="b">
        <x:v>1</x:v>
      </x:c>
    </x:row>
    <x:row r="310">
      <x:c r="A310" s="38" t="n">
        <x:v>45657</x:v>
      </x:c>
      <x:c r="B310" t="n">
        <x:v>2024</x:v>
      </x:c>
      <x:c r="C310" t="str">
        <x:v>31.12</x:v>
      </x:c>
      <x:c r="D310" t="str">
        <x:v>Normaltansat over 19 timer</x:v>
      </x:c>
      <x:c r="E310" s="26" t="n">
        <x:v>5584</x:v>
      </x:c>
      <x:c r="F310" s="32" t="b">
        <x:v>0</x:v>
      </x:c>
    </x:row>
    <x:row r="311">
      <x:c r="A311" s="38" t="n">
        <x:v>45657</x:v>
      </x:c>
      <x:c r="B311" t="n">
        <x:v>2024</x:v>
      </x:c>
      <x:c r="C311" t="str">
        <x:v>31.12</x:v>
      </x:c>
      <x:c r="D311" t="str">
        <x:v>Psykologistuderende</x:v>
      </x:c>
      <x:c r="E311" s="26" t="n">
        <x:v>1</x:v>
      </x:c>
      <x:c r="F311" s="32" t="b">
        <x:v>0</x:v>
      </x:c>
    </x:row>
    <x:row r="312">
      <x:c r="A312" s="38" t="n">
        <x:v>45657</x:v>
      </x:c>
      <x:c r="B312" t="n">
        <x:v>2024</x:v>
      </x:c>
      <x:c r="C312" t="str">
        <x:v>31.12</x:v>
      </x:c>
      <x:c r="D312" t="str">
        <x:v>Pensionist DP - Udland</x:v>
      </x:c>
      <x:c r="E312" s="26" t="n">
        <x:v>15</x:v>
      </x:c>
      <x:c r="F312" s="32" t="b">
        <x:v>0</x:v>
      </x:c>
    </x:row>
    <x:row r="313">
      <x:c r="A313" s="38" t="n">
        <x:v>45657</x:v>
      </x:c>
      <x:c r="B313" t="n">
        <x:v>2024</x:v>
      </x:c>
      <x:c r="C313" t="str">
        <x:v>31.12</x:v>
      </x:c>
      <x:c r="D313" t="str">
        <x:v>Ledig DP</x:v>
      </x:c>
      <x:c r="E313" s="26" t="n">
        <x:v>441</x:v>
      </x:c>
      <x:c r="F313" s="32" t="b">
        <x:v>0</x:v>
      </x:c>
    </x:row>
    <x:row r="314">
      <x:c r="A314" s="38" t="n">
        <x:v>45657</x:v>
      </x:c>
      <x:c r="B314" t="n">
        <x:v>2024</x:v>
      </x:c>
      <x:c r="C314" t="str">
        <x:v>31.12</x:v>
      </x:c>
      <x:c r="D314" t="str">
        <x:v>1 og 2 års Kandidater</x:v>
      </x:c>
      <x:c r="E314" s="26" t="n">
        <x:v>628</x:v>
      </x:c>
      <x:c r="F314" s="32" t="b">
        <x:v>0</x:v>
      </x:c>
    </x:row>
    <x:row r="315">
      <x:c r="A315" s="38" t="n">
        <x:v>45657</x:v>
      </x:c>
      <x:c r="B315" t="n">
        <x:v>2024</x:v>
      </x:c>
      <x:c r="C315" t="str">
        <x:v>31.12</x:v>
      </x:c>
      <x:c r="D315" t="str">
        <x:v>Selvstændig</x:v>
      </x:c>
      <x:c r="E315" s="26" t="n">
        <x:v>2398</x:v>
      </x:c>
      <x:c r="F315" s="32" t="b">
        <x:v>0</x:v>
      </x:c>
    </x:row>
    <x:row r="316">
      <x:c r="A316" s="38" t="n">
        <x:v>45657</x:v>
      </x:c>
      <x:c r="B316" t="n">
        <x:v>2024</x:v>
      </x:c>
      <x:c r="C316" t="str">
        <x:v>31.12</x:v>
      </x:c>
      <x:c r="D316" t="str">
        <x:v>Studerende DP</x:v>
      </x:c>
      <x:c r="E316" s="26" t="n">
        <x:v>1938</x:v>
      </x:c>
      <x:c r="F316" s="32" t="b">
        <x:v>0</x:v>
      </x:c>
    </x:row>
    <x:row r="317">
      <x:c r="A317" s="38" t="n">
        <x:v>45657</x:v>
      </x:c>
      <x:c r="B317" t="n">
        <x:v>2024</x:v>
      </x:c>
      <x:c r="C317" t="str">
        <x:v>31.12</x:v>
      </x:c>
      <x:c r="D317" t="str">
        <x:v>Ph.d. studerende</x:v>
      </x:c>
      <x:c r="E317" s="26" t="n">
        <x:v>48</x:v>
      </x:c>
      <x:c r="F317" s="32" t="b">
        <x:v>0</x:v>
      </x:c>
    </x:row>
    <x:row r="318">
      <x:c r="A318" s="38" t="n">
        <x:v>45657</x:v>
      </x:c>
      <x:c r="B318" t="n">
        <x:v>2024</x:v>
      </x:c>
      <x:c r="C318" t="str">
        <x:v>31.12</x:v>
      </x:c>
      <x:c r="D318" t="str">
        <x:v>Orlov uden løn DP</x:v>
      </x:c>
      <x:c r="E318" s="26" t="n">
        <x:v>40</x:v>
      </x:c>
      <x:c r="F318" s="32" t="b">
        <x:v>0</x:v>
      </x:c>
    </x:row>
    <x:row r="319">
      <x:c r="A319" s="38" t="n">
        <x:v>45657</x:v>
      </x:c>
      <x:c r="B319" t="n">
        <x:v>2024</x:v>
      </x:c>
      <x:c r="C319" t="str">
        <x:v>31.12</x:v>
      </x:c>
      <x:c r="D319" t="str">
        <x:v>Udland DP</x:v>
      </x:c>
      <x:c r="E319" s="26" t="n">
        <x:v>64</x:v>
      </x:c>
      <x:c r="F319" s="32" t="b">
        <x:v>0</x:v>
      </x:c>
    </x:row>
    <x:row r="320">
      <x:c r="A320" s="38" t="n">
        <x:v>45657</x:v>
      </x:c>
      <x:c r="B320" t="n">
        <x:v>2024</x:v>
      </x:c>
      <x:c r="C320" t="str">
        <x:v>31.12</x:v>
      </x:c>
      <x:c r="D320" t="str">
        <x:v>Anden forhandlingsret</x:v>
      </x:c>
      <x:c r="E320" s="26" t="n">
        <x:v>23</x:v>
      </x:c>
      <x:c r="F320" s="32" t="b">
        <x:v>0</x:v>
      </x:c>
    </x:row>
    <x:row r="321">
      <x:c r="A321" s="38" t="n">
        <x:v>45657</x:v>
      </x:c>
      <x:c r="B321" t="n">
        <x:v>2024</x:v>
      </x:c>
      <x:c r="C321" t="str">
        <x:v>31.12</x:v>
      </x:c>
      <x:c r="D321" t="str">
        <x:v>Efterløn DP</x:v>
      </x:c>
      <x:c r="E321" s="26" t="n">
        <x:v>17</x:v>
      </x:c>
      <x:c r="F321" s="32" t="b">
        <x:v>0</x:v>
      </x:c>
    </x:row>
    <x:row r="322">
      <x:c r="A322" s="38" t="n">
        <x:v>45657</x:v>
      </x:c>
      <x:c r="B322" t="n">
        <x:v>2024</x:v>
      </x:c>
      <x:c r="C322" t="str">
        <x:v>31.12</x:v>
      </x:c>
      <x:c r="D322" t="str">
        <x:v>DLF og DLF ret</x:v>
      </x:c>
      <x:c r="E322" s="26" t="n">
        <x:v>122</x:v>
      </x:c>
      <x:c r="F322" s="32" t="b">
        <x:v>0</x:v>
      </x:c>
    </x:row>
    <x:row r="323">
      <x:c r="A323" s="38" t="n">
        <x:v>45657</x:v>
      </x:c>
      <x:c r="B323" t="n">
        <x:v>2024</x:v>
      </x:c>
      <x:c r="C323" t="str">
        <x:v>31.12</x:v>
      </x:c>
      <x:c r="D323" t="str">
        <x:v>Ledig ikke ret til dagpenge</x:v>
      </x:c>
      <x:c r="E323" s="26" t="n">
        <x:v>50</x:v>
      </x:c>
      <x:c r="F323" s="32" t="b">
        <x:v>0</x:v>
      </x:c>
    </x:row>
    <x:row r="324">
      <x:c r="A324" s="38" t="n">
        <x:v>45657</x:v>
      </x:c>
      <x:c r="B324" t="n">
        <x:v>2024</x:v>
      </x:c>
      <x:c r="C324" t="str">
        <x:v>31.12</x:v>
      </x:c>
      <x:c r="D324" t="str">
        <x:v>Normaltansat under 20 timer</x:v>
      </x:c>
      <x:c r="E324" s="26" t="n">
        <x:v>111</x:v>
      </x:c>
      <x:c r="F324" s="32" t="b">
        <x:v>0</x:v>
      </x:c>
    </x:row>
    <x:row r="325">
      <x:c r="A325" s="38" t="n">
        <x:v>45657</x:v>
      </x:c>
      <x:c r="B325" t="n">
        <x:v>2024</x:v>
      </x:c>
      <x:c r="C325" t="str">
        <x:v>31.12</x:v>
      </x:c>
      <x:c r="D325" t="str">
        <x:v>DLF og DP ret</x:v>
      </x:c>
      <x:c r="E325" s="26" t="n">
        <x:v>42</x:v>
      </x:c>
      <x:c r="F325" s="32" t="b">
        <x:v>0</x:v>
      </x:c>
    </x:row>
    <x:row r="326">
      <x:c r="A326" s="38" t="n">
        <x:v>45657</x:v>
      </x:c>
      <x:c r="B326" t="n">
        <x:v>2024</x:v>
      </x:c>
      <x:c r="C326" t="str">
        <x:v>31.12</x:v>
      </x:c>
      <x:c r="D326" t="str">
        <x:v>Med løntilskud</x:v>
      </x:c>
      <x:c r="E326" s="26" t="n">
        <x:v>20</x:v>
      </x:c>
      <x:c r="F326" s="32" t="b">
        <x:v>0</x:v>
      </x:c>
    </x:row>
    <x:row r="327">
      <x:c r="A327" s="38" t="n">
        <x:v>45657</x:v>
      </x:c>
      <x:c r="B327" t="n">
        <x:v>2024</x:v>
      </x:c>
      <x:c r="C327" t="str">
        <x:v>31.12</x:v>
      </x:c>
      <x:c r="D327" t="str">
        <x:v>Pensionist DP</x:v>
      </x:c>
      <x:c r="E327" s="26" t="n">
        <x:v>1078</x:v>
      </x:c>
      <x:c r="F327" s="32" t="b">
        <x:v>0</x:v>
      </x:c>
    </x:row>
    <x:row r="328">
      <x:c r="A328" s="38" t="n">
        <x:v>45657</x:v>
      </x:c>
      <x:c r="B328" t="n">
        <x:v>2024</x:v>
      </x:c>
      <x:c r="C328" t="str">
        <x:v>31.12</x:v>
      </x:c>
      <x:c r="D328" t="str">
        <x:v>DM1 Mag. art.</x:v>
      </x:c>
      <x:c r="E328" s="26" t="n">
        <x:v>6</x:v>
      </x:c>
      <x:c r="F328" s="32" t="b">
        <x:v>0</x:v>
      </x:c>
    </x:row>
    <x:row r="329">
      <x:c r="A329" s="38" t="n">
        <x:v>45657</x:v>
      </x:c>
      <x:c r="B329" t="n">
        <x:v>2024</x:v>
      </x:c>
      <x:c r="C329" t="str">
        <x:v>31.12</x:v>
      </x:c>
      <x:c r="D329" t="str">
        <x:v>Æresmedlem</x:v>
      </x:c>
      <x:c r="E329" s="26" t="n">
        <x:v>8</x:v>
      </x:c>
      <x:c r="F329" s="32" t="b">
        <x:v>0</x:v>
      </x:c>
    </x:row>
    <x:row r="330">
      <x:c r="A330" s="38" t="n">
        <x:v>45657</x:v>
      </x:c>
      <x:c r="B330" t="n">
        <x:v>2024</x:v>
      </x:c>
      <x:c r="C330" t="str">
        <x:v>31.12</x:v>
      </x:c>
      <x:c r="D330" t="str">
        <x:v>DP medlem</x:v>
      </x:c>
      <x:c r="E330" s="26" t="n">
        <x:v>0</x:v>
      </x:c>
      <x:c r="F330" s="32" t="b">
        <x:v>0</x:v>
      </x:c>
    </x:row>
    <x:row r="331">
      <x:c r="A331" s="38" t="n">
        <x:v>45657</x:v>
      </x:c>
      <x:c r="B331" t="n">
        <x:v>2024</x:v>
      </x:c>
      <x:c r="C331" t="str">
        <x:v>31.12</x:v>
      </x:c>
      <x:c r="D331" t="str">
        <x:v>Alle medlemmer</x:v>
      </x:c>
      <x:c r="E331" s="26" t="n">
        <x:v>12634</x:v>
      </x:c>
      <x:c r="F331" s="32" t="b">
        <x:v>1</x:v>
      </x:c>
    </x:row>
    <x:row r="332">
      <x:c r="A332" s="38" t="n">
        <x:v>45688</x:v>
      </x:c>
      <x:c r="B332" t="n">
        <x:v>2025</x:v>
      </x:c>
      <x:c r="C332" t="str">
        <x:v>31.01</x:v>
      </x:c>
      <x:c r="D332" t="str">
        <x:v>Normaltansat over 19 timer</x:v>
      </x:c>
      <x:c r="E332" s="26" t="n">
        <x:v>5577</x:v>
      </x:c>
      <x:c r="F332" s="32" t="b">
        <x:v>0</x:v>
      </x:c>
    </x:row>
    <x:row r="333">
      <x:c r="A333" s="38" t="n">
        <x:v>45688</x:v>
      </x:c>
      <x:c r="B333" t="n">
        <x:v>2025</x:v>
      </x:c>
      <x:c r="C333" t="str">
        <x:v>31.01</x:v>
      </x:c>
      <x:c r="D333" t="str">
        <x:v>Psykologistuderende</x:v>
      </x:c>
      <x:c r="E333" s="26" t="n">
        <x:v>1</x:v>
      </x:c>
      <x:c r="F333" s="32" t="b">
        <x:v>0</x:v>
      </x:c>
    </x:row>
    <x:row r="334">
      <x:c r="A334" s="38" t="n">
        <x:v>45688</x:v>
      </x:c>
      <x:c r="B334" t="n">
        <x:v>2025</x:v>
      </x:c>
      <x:c r="C334" t="str">
        <x:v>31.01</x:v>
      </x:c>
      <x:c r="D334" t="str">
        <x:v>Pensionist DP - Udland</x:v>
      </x:c>
      <x:c r="E334" s="26" t="n">
        <x:v>16</x:v>
      </x:c>
      <x:c r="F334" s="32" t="b">
        <x:v>0</x:v>
      </x:c>
    </x:row>
    <x:row r="335">
      <x:c r="A335" s="38" t="n">
        <x:v>45688</x:v>
      </x:c>
      <x:c r="B335" t="n">
        <x:v>2025</x:v>
      </x:c>
      <x:c r="C335" t="str">
        <x:v>31.01</x:v>
      </x:c>
      <x:c r="D335" t="str">
        <x:v>Ledig DP</x:v>
      </x:c>
      <x:c r="E335" s="26" t="n">
        <x:v>431</x:v>
      </x:c>
      <x:c r="F335" s="32" t="b">
        <x:v>0</x:v>
      </x:c>
    </x:row>
    <x:row r="336">
      <x:c r="A336" s="38" t="n">
        <x:v>45688</x:v>
      </x:c>
      <x:c r="B336" t="n">
        <x:v>2025</x:v>
      </x:c>
      <x:c r="C336" t="str">
        <x:v>31.01</x:v>
      </x:c>
      <x:c r="D336" t="str">
        <x:v>1 og 2 års Kandidater</x:v>
      </x:c>
      <x:c r="E336" s="26" t="n">
        <x:v>666</x:v>
      </x:c>
      <x:c r="F336" s="32" t="b">
        <x:v>0</x:v>
      </x:c>
    </x:row>
    <x:row r="337">
      <x:c r="A337" s="38" t="n">
        <x:v>45688</x:v>
      </x:c>
      <x:c r="B337" t="n">
        <x:v>2025</x:v>
      </x:c>
      <x:c r="C337" t="str">
        <x:v>31.01</x:v>
      </x:c>
      <x:c r="D337" t="str">
        <x:v>Selvstændig</x:v>
      </x:c>
      <x:c r="E337" s="26" t="n">
        <x:v>2387</x:v>
      </x:c>
      <x:c r="F337" s="32" t="b">
        <x:v>0</x:v>
      </x:c>
    </x:row>
    <x:row r="338">
      <x:c r="A338" s="38" t="n">
        <x:v>45688</x:v>
      </x:c>
      <x:c r="B338" t="n">
        <x:v>2025</x:v>
      </x:c>
      <x:c r="C338" t="str">
        <x:v>31.01</x:v>
      </x:c>
      <x:c r="D338" t="str">
        <x:v>Studerende DP</x:v>
      </x:c>
      <x:c r="E338" s="26" t="n">
        <x:v>1899</x:v>
      </x:c>
      <x:c r="F338" s="32" t="b">
        <x:v>0</x:v>
      </x:c>
    </x:row>
    <x:row r="339">
      <x:c r="A339" s="38" t="n">
        <x:v>45688</x:v>
      </x:c>
      <x:c r="B339" t="n">
        <x:v>2025</x:v>
      </x:c>
      <x:c r="C339" t="str">
        <x:v>31.01</x:v>
      </x:c>
      <x:c r="D339" t="str">
        <x:v>Ph.d. studerende</x:v>
      </x:c>
      <x:c r="E339" s="26" t="n">
        <x:v>45</x:v>
      </x:c>
      <x:c r="F339" s="32" t="b">
        <x:v>0</x:v>
      </x:c>
    </x:row>
    <x:row r="340">
      <x:c r="A340" s="38" t="n">
        <x:v>45688</x:v>
      </x:c>
      <x:c r="B340" t="n">
        <x:v>2025</x:v>
      </x:c>
      <x:c r="C340" t="str">
        <x:v>31.01</x:v>
      </x:c>
      <x:c r="D340" t="str">
        <x:v>Orlov uden løn DP</x:v>
      </x:c>
      <x:c r="E340" s="26" t="n">
        <x:v>44</x:v>
      </x:c>
      <x:c r="F340" s="32" t="b">
        <x:v>0</x:v>
      </x:c>
    </x:row>
    <x:row r="341">
      <x:c r="A341" s="38" t="n">
        <x:v>45688</x:v>
      </x:c>
      <x:c r="B341" t="n">
        <x:v>2025</x:v>
      </x:c>
      <x:c r="C341" t="str">
        <x:v>31.01</x:v>
      </x:c>
      <x:c r="D341" t="str">
        <x:v>Udland DP</x:v>
      </x:c>
      <x:c r="E341" s="26" t="n">
        <x:v>62</x:v>
      </x:c>
      <x:c r="F341" s="32" t="b">
        <x:v>0</x:v>
      </x:c>
    </x:row>
    <x:row r="342">
      <x:c r="A342" s="38" t="n">
        <x:v>45688</x:v>
      </x:c>
      <x:c r="B342" t="n">
        <x:v>2025</x:v>
      </x:c>
      <x:c r="C342" t="str">
        <x:v>31.01</x:v>
      </x:c>
      <x:c r="D342" t="str">
        <x:v>Anden forhandlingsret</x:v>
      </x:c>
      <x:c r="E342" s="26" t="n">
        <x:v>23</x:v>
      </x:c>
      <x:c r="F342" s="32" t="b">
        <x:v>0</x:v>
      </x:c>
    </x:row>
    <x:row r="343">
      <x:c r="A343" s="38" t="n">
        <x:v>45688</x:v>
      </x:c>
      <x:c r="B343" t="n">
        <x:v>2025</x:v>
      </x:c>
      <x:c r="C343" t="str">
        <x:v>31.01</x:v>
      </x:c>
      <x:c r="D343" t="str">
        <x:v>Efterløn DP</x:v>
      </x:c>
      <x:c r="E343" s="26" t="n">
        <x:v>17</x:v>
      </x:c>
      <x:c r="F343" s="32" t="b">
        <x:v>0</x:v>
      </x:c>
    </x:row>
    <x:row r="344">
      <x:c r="A344" s="38" t="n">
        <x:v>45688</x:v>
      </x:c>
      <x:c r="B344" t="n">
        <x:v>2025</x:v>
      </x:c>
      <x:c r="C344" t="str">
        <x:v>31.01</x:v>
      </x:c>
      <x:c r="D344" t="str">
        <x:v>DLF og DLF ret</x:v>
      </x:c>
      <x:c r="E344" s="26" t="n">
        <x:v>120</x:v>
      </x:c>
      <x:c r="F344" s="32" t="b">
        <x:v>0</x:v>
      </x:c>
    </x:row>
    <x:row r="345">
      <x:c r="A345" s="38" t="n">
        <x:v>45688</x:v>
      </x:c>
      <x:c r="B345" t="n">
        <x:v>2025</x:v>
      </x:c>
      <x:c r="C345" t="str">
        <x:v>31.01</x:v>
      </x:c>
      <x:c r="D345" t="str">
        <x:v>Ledig ikke ret til dagpenge</x:v>
      </x:c>
      <x:c r="E345" s="26" t="n">
        <x:v>52</x:v>
      </x:c>
      <x:c r="F345" s="32" t="b">
        <x:v>0</x:v>
      </x:c>
    </x:row>
    <x:row r="346">
      <x:c r="A346" s="38" t="n">
        <x:v>45688</x:v>
      </x:c>
      <x:c r="B346" t="n">
        <x:v>2025</x:v>
      </x:c>
      <x:c r="C346" t="str">
        <x:v>31.01</x:v>
      </x:c>
      <x:c r="D346" t="str">
        <x:v>Normaltansat under 20 timer</x:v>
      </x:c>
      <x:c r="E346" s="26" t="n">
        <x:v>113</x:v>
      </x:c>
      <x:c r="F346" s="32" t="b">
        <x:v>0</x:v>
      </x:c>
    </x:row>
    <x:row r="347">
      <x:c r="A347" s="38" t="n">
        <x:v>45688</x:v>
      </x:c>
      <x:c r="B347" t="n">
        <x:v>2025</x:v>
      </x:c>
      <x:c r="C347" t="str">
        <x:v>31.01</x:v>
      </x:c>
      <x:c r="D347" t="str">
        <x:v>DLF og DP ret</x:v>
      </x:c>
      <x:c r="E347" s="26" t="n">
        <x:v>40</x:v>
      </x:c>
      <x:c r="F347" s="32" t="b">
        <x:v>0</x:v>
      </x:c>
    </x:row>
    <x:row r="348">
      <x:c r="A348" s="38" t="n">
        <x:v>45688</x:v>
      </x:c>
      <x:c r="B348" t="n">
        <x:v>2025</x:v>
      </x:c>
      <x:c r="C348" t="str">
        <x:v>31.01</x:v>
      </x:c>
      <x:c r="D348" t="str">
        <x:v>Med løntilskud</x:v>
      </x:c>
      <x:c r="E348" s="26" t="n">
        <x:v>20</x:v>
      </x:c>
      <x:c r="F348" s="32" t="b">
        <x:v>0</x:v>
      </x:c>
    </x:row>
    <x:row r="349">
      <x:c r="A349" s="38" t="n">
        <x:v>45688</x:v>
      </x:c>
      <x:c r="B349" t="n">
        <x:v>2025</x:v>
      </x:c>
      <x:c r="C349" t="str">
        <x:v>31.01</x:v>
      </x:c>
      <x:c r="D349" t="str">
        <x:v>Pensionist DP</x:v>
      </x:c>
      <x:c r="E349" s="26" t="n">
        <x:v>1092</x:v>
      </x:c>
      <x:c r="F349" s="32" t="b">
        <x:v>0</x:v>
      </x:c>
    </x:row>
    <x:row r="350">
      <x:c r="A350" s="38" t="n">
        <x:v>45688</x:v>
      </x:c>
      <x:c r="B350" t="n">
        <x:v>2025</x:v>
      </x:c>
      <x:c r="C350" t="str">
        <x:v>31.01</x:v>
      </x:c>
      <x:c r="D350" t="str">
        <x:v>DM1 Mag. art.</x:v>
      </x:c>
      <x:c r="E350" s="26" t="n">
        <x:v>5</x:v>
      </x:c>
      <x:c r="F350" s="32" t="b">
        <x:v>0</x:v>
      </x:c>
    </x:row>
    <x:row r="351">
      <x:c r="A351" s="38" t="n">
        <x:v>45688</x:v>
      </x:c>
      <x:c r="B351" t="n">
        <x:v>2025</x:v>
      </x:c>
      <x:c r="C351" t="str">
        <x:v>31.01</x:v>
      </x:c>
      <x:c r="D351" t="str">
        <x:v>Æresmedlem</x:v>
      </x:c>
      <x:c r="E351" s="26" t="n">
        <x:v>8</x:v>
      </x:c>
      <x:c r="F351" s="32" t="b">
        <x:v>0</x:v>
      </x:c>
    </x:row>
    <x:row r="352">
      <x:c r="A352" s="38" t="n">
        <x:v>45688</x:v>
      </x:c>
      <x:c r="B352" t="n">
        <x:v>2025</x:v>
      </x:c>
      <x:c r="C352" t="str">
        <x:v>31.01</x:v>
      </x:c>
      <x:c r="D352" t="str">
        <x:v>DP medlem</x:v>
      </x:c>
      <x:c r="E352" s="26" t="n">
        <x:v>0</x:v>
      </x:c>
      <x:c r="F352" s="32" t="b">
        <x:v>0</x:v>
      </x:c>
    </x:row>
    <x:row r="353">
      <x:c r="A353" s="38" t="n">
        <x:v>45688</x:v>
      </x:c>
      <x:c r="B353" t="n">
        <x:v>2025</x:v>
      </x:c>
      <x:c r="C353" t="str">
        <x:v>31.01</x:v>
      </x:c>
      <x:c r="D353" t="str">
        <x:v>Alle medlemmer</x:v>
      </x:c>
      <x:c r="E353" s="26" t="n">
        <x:v>12618</x:v>
      </x:c>
      <x:c r="F353" s="32" t="b">
        <x:v>1</x:v>
      </x:c>
    </x:row>
    <x:row r="354">
      <x:c r="A354" s="38" t="n">
        <x:v>45747</x:v>
      </x:c>
      <x:c r="B354" t="n">
        <x:v>2025</x:v>
      </x:c>
      <x:c r="C354" t="str">
        <x:v>31.03</x:v>
      </x:c>
      <x:c r="D354" t="str">
        <x:v>Normaltansat over 19 timer</x:v>
      </x:c>
      <x:c r="E354" s="26" t="n">
        <x:v>5646</x:v>
      </x:c>
      <x:c r="F354" s="32" t="b">
        <x:v>0</x:v>
      </x:c>
    </x:row>
    <x:row r="355">
      <x:c r="A355" s="38" t="n">
        <x:v>45747</x:v>
      </x:c>
      <x:c r="B355" t="n">
        <x:v>2025</x:v>
      </x:c>
      <x:c r="C355" t="str">
        <x:v>31.03</x:v>
      </x:c>
      <x:c r="D355" t="str">
        <x:v>Psykologistuderende</x:v>
      </x:c>
      <x:c r="E355" s="26" t="n">
        <x:v>1</x:v>
      </x:c>
      <x:c r="F355" s="32" t="b">
        <x:v>0</x:v>
      </x:c>
    </x:row>
    <x:row r="356">
      <x:c r="A356" s="38" t="n">
        <x:v>45747</x:v>
      </x:c>
      <x:c r="B356" t="n">
        <x:v>2025</x:v>
      </x:c>
      <x:c r="C356" t="str">
        <x:v>31.03</x:v>
      </x:c>
      <x:c r="D356" t="str">
        <x:v>Pensionist DP - Udland</x:v>
      </x:c>
      <x:c r="E356" s="26" t="n">
        <x:v>20</x:v>
      </x:c>
      <x:c r="F356" s="32" t="b">
        <x:v>0</x:v>
      </x:c>
    </x:row>
    <x:row r="357">
      <x:c r="A357" s="38" t="n">
        <x:v>45747</x:v>
      </x:c>
      <x:c r="B357" t="n">
        <x:v>2025</x:v>
      </x:c>
      <x:c r="C357" t="str">
        <x:v>31.03</x:v>
      </x:c>
      <x:c r="D357" t="str">
        <x:v>Ledig DP</x:v>
      </x:c>
      <x:c r="E357" s="26" t="n">
        <x:v>447</x:v>
      </x:c>
      <x:c r="F357" s="32" t="b">
        <x:v>0</x:v>
      </x:c>
    </x:row>
    <x:row r="358">
      <x:c r="A358" s="38" t="n">
        <x:v>45747</x:v>
      </x:c>
      <x:c r="B358" t="n">
        <x:v>2025</x:v>
      </x:c>
      <x:c r="C358" t="str">
        <x:v>31.03</x:v>
      </x:c>
      <x:c r="D358" t="str">
        <x:v>1 og 2 års Kandidater</x:v>
      </x:c>
      <x:c r="E358" s="26" t="n">
        <x:v>643</x:v>
      </x:c>
      <x:c r="F358" s="32" t="b">
        <x:v>0</x:v>
      </x:c>
    </x:row>
    <x:row r="359">
      <x:c r="A359" s="38" t="n">
        <x:v>45747</x:v>
      </x:c>
      <x:c r="B359" t="n">
        <x:v>2025</x:v>
      </x:c>
      <x:c r="C359" t="str">
        <x:v>31.03</x:v>
      </x:c>
      <x:c r="D359" t="str">
        <x:v>Selvstændig</x:v>
      </x:c>
      <x:c r="E359" s="26" t="n">
        <x:v>2401</x:v>
      </x:c>
      <x:c r="F359" s="32" t="b">
        <x:v>0</x:v>
      </x:c>
    </x:row>
    <x:row r="360">
      <x:c r="A360" s="38" t="n">
        <x:v>45747</x:v>
      </x:c>
      <x:c r="B360" t="n">
        <x:v>2025</x:v>
      </x:c>
      <x:c r="C360" t="str">
        <x:v>31.03</x:v>
      </x:c>
      <x:c r="D360" t="str">
        <x:v>Studerende DP</x:v>
      </x:c>
      <x:c r="E360" s="26" t="n">
        <x:v>1877</x:v>
      </x:c>
      <x:c r="F360" s="32" t="b">
        <x:v>0</x:v>
      </x:c>
    </x:row>
    <x:row r="361">
      <x:c r="A361" s="38" t="n">
        <x:v>45747</x:v>
      </x:c>
      <x:c r="B361" t="n">
        <x:v>2025</x:v>
      </x:c>
      <x:c r="C361" t="str">
        <x:v>31.03</x:v>
      </x:c>
      <x:c r="D361" t="str">
        <x:v>Ph.d. studerende</x:v>
      </x:c>
      <x:c r="E361" s="26" t="n">
        <x:v>46</x:v>
      </x:c>
      <x:c r="F361" s="32" t="b">
        <x:v>0</x:v>
      </x:c>
    </x:row>
    <x:row r="362">
      <x:c r="A362" s="38" t="n">
        <x:v>45747</x:v>
      </x:c>
      <x:c r="B362" t="n">
        <x:v>2025</x:v>
      </x:c>
      <x:c r="C362" t="str">
        <x:v>31.03</x:v>
      </x:c>
      <x:c r="D362" t="str">
        <x:v>Orlov uden løn DP</x:v>
      </x:c>
      <x:c r="E362" s="26" t="n">
        <x:v>48</x:v>
      </x:c>
      <x:c r="F362" s="32" t="b">
        <x:v>0</x:v>
      </x:c>
    </x:row>
    <x:row r="363">
      <x:c r="A363" s="38" t="n">
        <x:v>45747</x:v>
      </x:c>
      <x:c r="B363" t="n">
        <x:v>2025</x:v>
      </x:c>
      <x:c r="C363" t="str">
        <x:v>31.03</x:v>
      </x:c>
      <x:c r="D363" t="str">
        <x:v>Udland DP</x:v>
      </x:c>
      <x:c r="E363" s="26" t="n">
        <x:v>62</x:v>
      </x:c>
      <x:c r="F363" s="32" t="b">
        <x:v>0</x:v>
      </x:c>
    </x:row>
    <x:row r="364">
      <x:c r="A364" s="38" t="n">
        <x:v>45747</x:v>
      </x:c>
      <x:c r="B364" t="n">
        <x:v>2025</x:v>
      </x:c>
      <x:c r="C364" t="str">
        <x:v>31.03</x:v>
      </x:c>
      <x:c r="D364" t="str">
        <x:v>Anden forhandlingsret</x:v>
      </x:c>
      <x:c r="E364" s="26" t="n">
        <x:v>22</x:v>
      </x:c>
      <x:c r="F364" s="32" t="b">
        <x:v>0</x:v>
      </x:c>
    </x:row>
    <x:row r="365">
      <x:c r="A365" s="38" t="n">
        <x:v>45747</x:v>
      </x:c>
      <x:c r="B365" t="n">
        <x:v>2025</x:v>
      </x:c>
      <x:c r="C365" t="str">
        <x:v>31.03</x:v>
      </x:c>
      <x:c r="D365" t="str">
        <x:v>Efterløn DP</x:v>
      </x:c>
      <x:c r="E365" s="26" t="n">
        <x:v>17</x:v>
      </x:c>
      <x:c r="F365" s="32" t="b">
        <x:v>0</x:v>
      </x:c>
    </x:row>
    <x:row r="366">
      <x:c r="A366" s="38" t="n">
        <x:v>45747</x:v>
      </x:c>
      <x:c r="B366" t="n">
        <x:v>2025</x:v>
      </x:c>
      <x:c r="C366" t="str">
        <x:v>31.03</x:v>
      </x:c>
      <x:c r="D366" t="str">
        <x:v>DLF og DLF ret</x:v>
      </x:c>
      <x:c r="E366" s="26" t="n">
        <x:v>118</x:v>
      </x:c>
      <x:c r="F366" s="32" t="b">
        <x:v>0</x:v>
      </x:c>
    </x:row>
    <x:row r="367">
      <x:c r="A367" s="38" t="n">
        <x:v>45747</x:v>
      </x:c>
      <x:c r="B367" t="n">
        <x:v>2025</x:v>
      </x:c>
      <x:c r="C367" t="str">
        <x:v>31.03</x:v>
      </x:c>
      <x:c r="D367" t="str">
        <x:v>Ledig ikke ret til dagpenge</x:v>
      </x:c>
      <x:c r="E367" s="26" t="n">
        <x:v>54</x:v>
      </x:c>
      <x:c r="F367" s="32" t="b">
        <x:v>0</x:v>
      </x:c>
    </x:row>
    <x:row r="368">
      <x:c r="A368" s="38" t="n">
        <x:v>45747</x:v>
      </x:c>
      <x:c r="B368" t="n">
        <x:v>2025</x:v>
      </x:c>
      <x:c r="C368" t="str">
        <x:v>31.03</x:v>
      </x:c>
      <x:c r="D368" t="str">
        <x:v>Normaltansat under 20 timer</x:v>
      </x:c>
      <x:c r="E368" s="26" t="n">
        <x:v>115</x:v>
      </x:c>
      <x:c r="F368" s="32" t="b">
        <x:v>0</x:v>
      </x:c>
    </x:row>
    <x:row r="369">
      <x:c r="A369" s="38" t="n">
        <x:v>45747</x:v>
      </x:c>
      <x:c r="B369" t="n">
        <x:v>2025</x:v>
      </x:c>
      <x:c r="C369" t="str">
        <x:v>31.03</x:v>
      </x:c>
      <x:c r="D369" t="str">
        <x:v>DLF og DP ret</x:v>
      </x:c>
      <x:c r="E369" s="26" t="n">
        <x:v>36</x:v>
      </x:c>
      <x:c r="F369" s="32" t="b">
        <x:v>0</x:v>
      </x:c>
    </x:row>
    <x:row r="370">
      <x:c r="A370" s="38" t="n">
        <x:v>45747</x:v>
      </x:c>
      <x:c r="B370" t="n">
        <x:v>2025</x:v>
      </x:c>
      <x:c r="C370" t="str">
        <x:v>31.03</x:v>
      </x:c>
      <x:c r="D370" t="str">
        <x:v>Med løntilskud</x:v>
      </x:c>
      <x:c r="E370" s="26" t="n">
        <x:v>20</x:v>
      </x:c>
      <x:c r="F370" s="32" t="b">
        <x:v>0</x:v>
      </x:c>
    </x:row>
    <x:row r="371">
      <x:c r="A371" s="38" t="n">
        <x:v>45747</x:v>
      </x:c>
      <x:c r="B371" t="n">
        <x:v>2025</x:v>
      </x:c>
      <x:c r="C371" t="str">
        <x:v>31.03</x:v>
      </x:c>
      <x:c r="D371" t="str">
        <x:v>Pensionist DP</x:v>
      </x:c>
      <x:c r="E371" s="26" t="n">
        <x:v>1092</x:v>
      </x:c>
      <x:c r="F371" s="32" t="b">
        <x:v>0</x:v>
      </x:c>
    </x:row>
    <x:row r="372">
      <x:c r="A372" s="38" t="n">
        <x:v>45747</x:v>
      </x:c>
      <x:c r="B372" t="n">
        <x:v>2025</x:v>
      </x:c>
      <x:c r="C372" t="str">
        <x:v>31.03</x:v>
      </x:c>
      <x:c r="D372" t="str">
        <x:v>DM1 Mag. art.</x:v>
      </x:c>
      <x:c r="E372" s="26" t="n">
        <x:v>5</x:v>
      </x:c>
      <x:c r="F372" s="32" t="b">
        <x:v>0</x:v>
      </x:c>
    </x:row>
    <x:row r="373">
      <x:c r="A373" s="38" t="n">
        <x:v>45747</x:v>
      </x:c>
      <x:c r="B373" t="n">
        <x:v>2025</x:v>
      </x:c>
      <x:c r="C373" t="str">
        <x:v>31.03</x:v>
      </x:c>
      <x:c r="D373" t="str">
        <x:v>Æresmedlem</x:v>
      </x:c>
      <x:c r="E373" s="26" t="n">
        <x:v>8</x:v>
      </x:c>
      <x:c r="F373" s="32" t="b">
        <x:v>0</x:v>
      </x:c>
    </x:row>
    <x:row r="374">
      <x:c r="A374" s="38" t="n">
        <x:v>45747</x:v>
      </x:c>
      <x:c r="B374" t="n">
        <x:v>2025</x:v>
      </x:c>
      <x:c r="C374" t="str">
        <x:v>31.03</x:v>
      </x:c>
      <x:c r="D374" t="str">
        <x:v>DP medlem</x:v>
      </x:c>
      <x:c r="E374" s="26" t="n">
        <x:v>0</x:v>
      </x:c>
      <x:c r="F374" s="32" t="b">
        <x:v>0</x:v>
      </x:c>
    </x:row>
    <x:row r="375">
      <x:c r="A375" s="38" t="n">
        <x:v>45747</x:v>
      </x:c>
      <x:c r="B375" t="n">
        <x:v>2025</x:v>
      </x:c>
      <x:c r="C375" t="str">
        <x:v>31.03</x:v>
      </x:c>
      <x:c r="D375" t="str">
        <x:v>Alle medlemmer</x:v>
      </x:c>
      <x:c r="E375" s="26" t="n">
        <x:v>12678</x:v>
      </x:c>
      <x:c r="F375" s="32" t="b">
        <x:v>1</x:v>
      </x:c>
    </x:row>
    <x:row r="376">
      <x:c r="A376" s="38" t="n">
        <x:v>45838</x:v>
      </x:c>
      <x:c r="B376" t="n">
        <x:v>2025</x:v>
      </x:c>
      <x:c r="C376" t="str">
        <x:v>30.06</x:v>
      </x:c>
      <x:c r="D376" t="str">
        <x:v>Normaltansat over 19 timer</x:v>
      </x:c>
      <x:c r="E376" s="26" t="n">
        <x:v>5650</x:v>
      </x:c>
      <x:c r="F376" s="32" t="b">
        <x:v>0</x:v>
      </x:c>
    </x:row>
    <x:row r="377">
      <x:c r="A377" s="38" t="n">
        <x:v>45838</x:v>
      </x:c>
      <x:c r="B377" t="n">
        <x:v>2025</x:v>
      </x:c>
      <x:c r="C377" t="str">
        <x:v>30.06</x:v>
      </x:c>
      <x:c r="D377" t="str">
        <x:v>Psykologistuderende</x:v>
      </x:c>
      <x:c r="E377" s="26" t="n">
        <x:v>1</x:v>
      </x:c>
      <x:c r="F377" s="32" t="b">
        <x:v>0</x:v>
      </x:c>
    </x:row>
    <x:row r="378">
      <x:c r="A378" s="38" t="n">
        <x:v>45838</x:v>
      </x:c>
      <x:c r="B378" t="n">
        <x:v>2025</x:v>
      </x:c>
      <x:c r="C378" t="str">
        <x:v>30.06</x:v>
      </x:c>
      <x:c r="D378" t="str">
        <x:v>Pensionist DP - Udland</x:v>
      </x:c>
      <x:c r="E378" s="26" t="n">
        <x:v>21</x:v>
      </x:c>
      <x:c r="F378" s="32" t="b">
        <x:v>0</x:v>
      </x:c>
    </x:row>
    <x:row r="379">
      <x:c r="A379" s="38" t="n">
        <x:v>45838</x:v>
      </x:c>
      <x:c r="B379" t="n">
        <x:v>2025</x:v>
      </x:c>
      <x:c r="C379" t="str">
        <x:v>30.06</x:v>
      </x:c>
      <x:c r="D379" t="str">
        <x:v>Ledig DP</x:v>
      </x:c>
      <x:c r="E379" s="26" t="n">
        <x:v>405</x:v>
      </x:c>
      <x:c r="F379" s="32" t="b">
        <x:v>0</x:v>
      </x:c>
    </x:row>
    <x:row r="380">
      <x:c r="A380" s="38" t="n">
        <x:v>45838</x:v>
      </x:c>
      <x:c r="B380" t="n">
        <x:v>2025</x:v>
      </x:c>
      <x:c r="C380" t="str">
        <x:v>30.06</x:v>
      </x:c>
      <x:c r="D380" t="str">
        <x:v>1 og 2 års Kandidater</x:v>
      </x:c>
      <x:c r="E380" s="26" t="n">
        <x:v>711</x:v>
      </x:c>
      <x:c r="F380" s="32" t="b">
        <x:v>0</x:v>
      </x:c>
    </x:row>
    <x:row r="381">
      <x:c r="A381" s="38" t="n">
        <x:v>45838</x:v>
      </x:c>
      <x:c r="B381" t="n">
        <x:v>2025</x:v>
      </x:c>
      <x:c r="C381" t="str">
        <x:v>30.06</x:v>
      </x:c>
      <x:c r="D381" t="str">
        <x:v>Selvstændig</x:v>
      </x:c>
      <x:c r="E381" s="26" t="n">
        <x:v>2423</x:v>
      </x:c>
      <x:c r="F381" s="32" t="b">
        <x:v>0</x:v>
      </x:c>
    </x:row>
    <x:row r="382">
      <x:c r="A382" s="38" t="n">
        <x:v>45838</x:v>
      </x:c>
      <x:c r="B382" t="n">
        <x:v>2025</x:v>
      </x:c>
      <x:c r="C382" t="str">
        <x:v>30.06</x:v>
      </x:c>
      <x:c r="D382" t="str">
        <x:v>Studerende DP</x:v>
      </x:c>
      <x:c r="E382" s="26" t="n">
        <x:v>1870</x:v>
      </x:c>
      <x:c r="F382" s="32" t="b">
        <x:v>0</x:v>
      </x:c>
    </x:row>
    <x:row r="383">
      <x:c r="A383" s="38" t="n">
        <x:v>45838</x:v>
      </x:c>
      <x:c r="B383" t="n">
        <x:v>2025</x:v>
      </x:c>
      <x:c r="C383" t="str">
        <x:v>30.06</x:v>
      </x:c>
      <x:c r="D383" t="str">
        <x:v>Ph.d. studerende</x:v>
      </x:c>
      <x:c r="E383" s="26" t="n">
        <x:v>47</x:v>
      </x:c>
      <x:c r="F383" s="32" t="b">
        <x:v>0</x:v>
      </x:c>
    </x:row>
    <x:row r="384">
      <x:c r="A384" s="38" t="n">
        <x:v>45838</x:v>
      </x:c>
      <x:c r="B384" t="n">
        <x:v>2025</x:v>
      </x:c>
      <x:c r="C384" t="str">
        <x:v>30.06</x:v>
      </x:c>
      <x:c r="D384" t="str">
        <x:v>Orlov uden løn DP</x:v>
      </x:c>
      <x:c r="E384" s="26" t="n">
        <x:v>42</x:v>
      </x:c>
      <x:c r="F384" s="32" t="b">
        <x:v>0</x:v>
      </x:c>
    </x:row>
    <x:row r="385">
      <x:c r="A385" s="38" t="n">
        <x:v>45838</x:v>
      </x:c>
      <x:c r="B385" t="n">
        <x:v>2025</x:v>
      </x:c>
      <x:c r="C385" t="str">
        <x:v>30.06</x:v>
      </x:c>
      <x:c r="D385" t="str">
        <x:v>Udland DP</x:v>
      </x:c>
      <x:c r="E385" s="26" t="n">
        <x:v>58</x:v>
      </x:c>
      <x:c r="F385" s="32" t="b">
        <x:v>0</x:v>
      </x:c>
    </x:row>
    <x:row r="386">
      <x:c r="A386" s="38" t="n">
        <x:v>45838</x:v>
      </x:c>
      <x:c r="B386" t="n">
        <x:v>2025</x:v>
      </x:c>
      <x:c r="C386" t="str">
        <x:v>30.06</x:v>
      </x:c>
      <x:c r="D386" t="str">
        <x:v>Anden forhandlingsret</x:v>
      </x:c>
      <x:c r="E386" s="26" t="n">
        <x:v>25</x:v>
      </x:c>
      <x:c r="F386" s="32" t="b">
        <x:v>0</x:v>
      </x:c>
    </x:row>
    <x:row r="387">
      <x:c r="A387" s="38" t="n">
        <x:v>45838</x:v>
      </x:c>
      <x:c r="B387" t="n">
        <x:v>2025</x:v>
      </x:c>
      <x:c r="C387" t="str">
        <x:v>30.06</x:v>
      </x:c>
      <x:c r="D387" t="str">
        <x:v>Efterløn DP</x:v>
      </x:c>
      <x:c r="E387" s="26" t="n">
        <x:v>16</x:v>
      </x:c>
      <x:c r="F387" s="32" t="b">
        <x:v>0</x:v>
      </x:c>
    </x:row>
    <x:row r="388">
      <x:c r="A388" s="38" t="n">
        <x:v>45838</x:v>
      </x:c>
      <x:c r="B388" t="n">
        <x:v>2025</x:v>
      </x:c>
      <x:c r="C388" t="str">
        <x:v>30.06</x:v>
      </x:c>
      <x:c r="D388" t="str">
        <x:v>DLF og DLF ret</x:v>
      </x:c>
      <x:c r="E388" s="26" t="n">
        <x:v>106</x:v>
      </x:c>
      <x:c r="F388" s="32" t="b">
        <x:v>0</x:v>
      </x:c>
    </x:row>
    <x:row r="389">
      <x:c r="A389" s="38" t="n">
        <x:v>45838</x:v>
      </x:c>
      <x:c r="B389" t="n">
        <x:v>2025</x:v>
      </x:c>
      <x:c r="C389" t="str">
        <x:v>30.06</x:v>
      </x:c>
      <x:c r="D389" t="str">
        <x:v>Ledig ikke ret til dagpenge</x:v>
      </x:c>
      <x:c r="E389" s="26" t="n">
        <x:v>55</x:v>
      </x:c>
      <x:c r="F389" s="32" t="b">
        <x:v>0</x:v>
      </x:c>
    </x:row>
    <x:row r="390">
      <x:c r="A390" s="38" t="n">
        <x:v>45838</x:v>
      </x:c>
      <x:c r="B390" t="n">
        <x:v>2025</x:v>
      </x:c>
      <x:c r="C390" t="str">
        <x:v>30.06</x:v>
      </x:c>
      <x:c r="D390" t="str">
        <x:v>Normaltansat under 20 timer</x:v>
      </x:c>
      <x:c r="E390" s="26" t="n">
        <x:v>112</x:v>
      </x:c>
      <x:c r="F390" s="32" t="b">
        <x:v>0</x:v>
      </x:c>
    </x:row>
    <x:row r="391">
      <x:c r="A391" s="38" t="n">
        <x:v>45838</x:v>
      </x:c>
      <x:c r="B391" t="n">
        <x:v>2025</x:v>
      </x:c>
      <x:c r="C391" t="str">
        <x:v>30.06</x:v>
      </x:c>
      <x:c r="D391" t="str">
        <x:v>DLF og DP ret</x:v>
      </x:c>
      <x:c r="E391" s="26" t="n">
        <x:v>34</x:v>
      </x:c>
      <x:c r="F391" s="32" t="b">
        <x:v>0</x:v>
      </x:c>
    </x:row>
    <x:row r="392">
      <x:c r="A392" s="38" t="n">
        <x:v>45838</x:v>
      </x:c>
      <x:c r="B392" t="n">
        <x:v>2025</x:v>
      </x:c>
      <x:c r="C392" t="str">
        <x:v>30.06</x:v>
      </x:c>
      <x:c r="D392" t="str">
        <x:v>Med løntilskud</x:v>
      </x:c>
      <x:c r="E392" s="26" t="n">
        <x:v>20</x:v>
      </x:c>
      <x:c r="F392" s="32" t="b">
        <x:v>0</x:v>
      </x:c>
    </x:row>
    <x:row r="393">
      <x:c r="A393" s="38" t="n">
        <x:v>45838</x:v>
      </x:c>
      <x:c r="B393" t="n">
        <x:v>2025</x:v>
      </x:c>
      <x:c r="C393" t="str">
        <x:v>30.06</x:v>
      </x:c>
      <x:c r="D393" t="str">
        <x:v>Pensionist DP</x:v>
      </x:c>
      <x:c r="E393" s="26" t="n">
        <x:v>1095</x:v>
      </x:c>
      <x:c r="F393" s="32" t="b">
        <x:v>0</x:v>
      </x:c>
    </x:row>
    <x:row r="394">
      <x:c r="A394" s="38" t="n">
        <x:v>45838</x:v>
      </x:c>
      <x:c r="B394" t="n">
        <x:v>2025</x:v>
      </x:c>
      <x:c r="C394" t="str">
        <x:v>30.06</x:v>
      </x:c>
      <x:c r="D394" t="str">
        <x:v>DM1 Mag. art.</x:v>
      </x:c>
      <x:c r="E394" s="26" t="n">
        <x:v>5</x:v>
      </x:c>
      <x:c r="F394" s="32" t="b">
        <x:v>0</x:v>
      </x:c>
    </x:row>
    <x:row r="395">
      <x:c r="A395" s="38" t="n">
        <x:v>45838</x:v>
      </x:c>
      <x:c r="B395" t="n">
        <x:v>2025</x:v>
      </x:c>
      <x:c r="C395" t="str">
        <x:v>30.06</x:v>
      </x:c>
      <x:c r="D395" t="str">
        <x:v>Æresmedlem</x:v>
      </x:c>
      <x:c r="E395" s="26" t="n">
        <x:v>10</x:v>
      </x:c>
      <x:c r="F395" s="32" t="b">
        <x:v>0</x:v>
      </x:c>
    </x:row>
    <x:row r="396">
      <x:c r="A396" s="38" t="n">
        <x:v>45838</x:v>
      </x:c>
      <x:c r="B396" t="n">
        <x:v>2025</x:v>
      </x:c>
      <x:c r="C396" t="str">
        <x:v>30.06</x:v>
      </x:c>
      <x:c r="D396" t="str">
        <x:v>DP medlem</x:v>
      </x:c>
      <x:c r="E396" s="26" t="n">
        <x:v>0</x:v>
      </x:c>
      <x:c r="F396" s="32" t="b">
        <x:v>0</x:v>
      </x:c>
    </x:row>
    <x:row r="397">
      <x:c r="A397" s="38" t="n">
        <x:v>45838</x:v>
      </x:c>
      <x:c r="B397" t="n">
        <x:v>2025</x:v>
      </x:c>
      <x:c r="C397" t="str">
        <x:v>30.06</x:v>
      </x:c>
      <x:c r="D397" t="str">
        <x:v>Alle medlemmer</x:v>
      </x:c>
      <x:c r="E397" s="26" t="n">
        <x:v>12706</x:v>
      </x:c>
      <x:c r="F397" s="32" t="b">
        <x:v>1</x:v>
      </x:c>
    </x:row>
    <x:row r="398">
      <x:c r="A398" s="38" t="n">
        <x:v>45930</x:v>
      </x:c>
      <x:c r="B398" t="n">
        <x:v>2025</x:v>
      </x:c>
      <x:c r="C398" t="str">
        <x:v>30.09</x:v>
      </x:c>
      <x:c r="D398" t="str">
        <x:v>Normaltansat over 19 timer</x:v>
      </x:c>
      <x:c r="E398" s="26" t="n">
        <x:v>5820</x:v>
      </x:c>
      <x:c r="F398" s="32" t="b">
        <x:v>0</x:v>
      </x:c>
    </x:row>
    <x:row r="399">
      <x:c r="A399" s="38" t="n">
        <x:v>45930</x:v>
      </x:c>
      <x:c r="B399" t="n">
        <x:v>2025</x:v>
      </x:c>
      <x:c r="C399" t="str">
        <x:v>30.09</x:v>
      </x:c>
      <x:c r="D399" t="str">
        <x:v>Psykologistuderende</x:v>
      </x:c>
      <x:c r="E399" s="26" t="n">
        <x:v>1</x:v>
      </x:c>
      <x:c r="F399" s="32" t="b">
        <x:v>0</x:v>
      </x:c>
    </x:row>
    <x:row r="400">
      <x:c r="A400" s="38" t="n">
        <x:v>45930</x:v>
      </x:c>
      <x:c r="B400" t="n">
        <x:v>2025</x:v>
      </x:c>
      <x:c r="C400" t="str">
        <x:v>30.09</x:v>
      </x:c>
      <x:c r="D400" t="str">
        <x:v>Pensionist DP - Udland</x:v>
      </x:c>
      <x:c r="E400" s="26" t="n">
        <x:v>20</x:v>
      </x:c>
      <x:c r="F400" s="32" t="b">
        <x:v>0</x:v>
      </x:c>
    </x:row>
    <x:row r="401">
      <x:c r="A401" s="38" t="n">
        <x:v>45930</x:v>
      </x:c>
      <x:c r="B401" t="n">
        <x:v>2025</x:v>
      </x:c>
      <x:c r="C401" t="str">
        <x:v>30.09</x:v>
      </x:c>
      <x:c r="D401" t="str">
        <x:v>Ledig DP</x:v>
      </x:c>
      <x:c r="E401" s="26" t="n">
        <x:v>405</x:v>
      </x:c>
      <x:c r="F401" s="32" t="b">
        <x:v>0</x:v>
      </x:c>
    </x:row>
    <x:row r="402">
      <x:c r="A402" s="38" t="n">
        <x:v>45930</x:v>
      </x:c>
      <x:c r="B402" t="n">
        <x:v>2025</x:v>
      </x:c>
      <x:c r="C402" t="str">
        <x:v>30.09</x:v>
      </x:c>
      <x:c r="D402" t="str">
        <x:v>1 og 2 års Kandidater</x:v>
      </x:c>
      <x:c r="E402" s="26" t="n">
        <x:v>600</x:v>
      </x:c>
      <x:c r="F402" s="32" t="b">
        <x:v>0</x:v>
      </x:c>
    </x:row>
    <x:row r="403">
      <x:c r="A403" s="38" t="n">
        <x:v>45930</x:v>
      </x:c>
      <x:c r="B403" t="n">
        <x:v>2025</x:v>
      </x:c>
      <x:c r="C403" t="str">
        <x:v>30.09</x:v>
      </x:c>
      <x:c r="D403" t="str">
        <x:v>Selvstændig</x:v>
      </x:c>
      <x:c r="E403" s="26" t="n">
        <x:v>2464</x:v>
      </x:c>
      <x:c r="F403" s="32" t="b">
        <x:v>0</x:v>
      </x:c>
    </x:row>
    <x:row r="404">
      <x:c r="A404" s="38" t="n">
        <x:v>45930</x:v>
      </x:c>
      <x:c r="B404" t="n">
        <x:v>2025</x:v>
      </x:c>
      <x:c r="C404" t="str">
        <x:v>30.09</x:v>
      </x:c>
      <x:c r="D404" t="str">
        <x:v>Studerende DP</x:v>
      </x:c>
      <x:c r="E404" s="26" t="n">
        <x:v>2154</x:v>
      </x:c>
      <x:c r="F404" s="32" t="b">
        <x:v>0</x:v>
      </x:c>
    </x:row>
    <x:row r="405">
      <x:c r="A405" s="38" t="n">
        <x:v>45930</x:v>
      </x:c>
      <x:c r="B405" t="n">
        <x:v>2025</x:v>
      </x:c>
      <x:c r="C405" t="str">
        <x:v>30.09</x:v>
      </x:c>
      <x:c r="D405" t="str">
        <x:v>Ph.d. studerende</x:v>
      </x:c>
      <x:c r="E405" s="26" t="n">
        <x:v>51</x:v>
      </x:c>
      <x:c r="F405" s="32" t="b">
        <x:v>0</x:v>
      </x:c>
    </x:row>
    <x:row r="406">
      <x:c r="A406" s="38" t="n">
        <x:v>45930</x:v>
      </x:c>
      <x:c r="B406" t="n">
        <x:v>2025</x:v>
      </x:c>
      <x:c r="C406" t="str">
        <x:v>30.09</x:v>
      </x:c>
      <x:c r="D406" t="str">
        <x:v>Orlov uden løn DP</x:v>
      </x:c>
      <x:c r="E406" s="26" t="n">
        <x:v>39</x:v>
      </x:c>
      <x:c r="F406" s="32" t="b">
        <x:v>0</x:v>
      </x:c>
    </x:row>
    <x:row r="407">
      <x:c r="A407" s="38" t="n">
        <x:v>45930</x:v>
      </x:c>
      <x:c r="B407" t="n">
        <x:v>2025</x:v>
      </x:c>
      <x:c r="C407" t="str">
        <x:v>30.09</x:v>
      </x:c>
      <x:c r="D407" t="str">
        <x:v>Udland DP</x:v>
      </x:c>
      <x:c r="E407" s="26" t="n">
        <x:v>55</x:v>
      </x:c>
      <x:c r="F407" s="32" t="b">
        <x:v>0</x:v>
      </x:c>
    </x:row>
    <x:row r="408">
      <x:c r="A408" s="38" t="n">
        <x:v>45930</x:v>
      </x:c>
      <x:c r="B408" t="n">
        <x:v>2025</x:v>
      </x:c>
      <x:c r="C408" t="str">
        <x:v>30.09</x:v>
      </x:c>
      <x:c r="D408" t="str">
        <x:v>Anden forhandlingsret</x:v>
      </x:c>
      <x:c r="E408" s="26" t="n">
        <x:v>25</x:v>
      </x:c>
      <x:c r="F408" s="32" t="b">
        <x:v>0</x:v>
      </x:c>
    </x:row>
    <x:row r="409">
      <x:c r="A409" s="38" t="n">
        <x:v>45930</x:v>
      </x:c>
      <x:c r="B409" t="n">
        <x:v>2025</x:v>
      </x:c>
      <x:c r="C409" t="str">
        <x:v>30.09</x:v>
      </x:c>
      <x:c r="D409" t="str">
        <x:v>Efterløn DP</x:v>
      </x:c>
      <x:c r="E409" s="26" t="n">
        <x:v>15</x:v>
      </x:c>
      <x:c r="F409" s="32" t="b">
        <x:v>0</x:v>
      </x:c>
    </x:row>
    <x:row r="410">
      <x:c r="A410" s="38" t="n">
        <x:v>45930</x:v>
      </x:c>
      <x:c r="B410" t="n">
        <x:v>2025</x:v>
      </x:c>
      <x:c r="C410" t="str">
        <x:v>30.09</x:v>
      </x:c>
      <x:c r="D410" t="str">
        <x:v>DLF og DLF ret</x:v>
      </x:c>
      <x:c r="E410" s="26" t="n">
        <x:v>102</x:v>
      </x:c>
      <x:c r="F410" s="32" t="b">
        <x:v>0</x:v>
      </x:c>
    </x:row>
    <x:row r="411">
      <x:c r="A411" s="38" t="n">
        <x:v>45930</x:v>
      </x:c>
      <x:c r="B411" t="n">
        <x:v>2025</x:v>
      </x:c>
      <x:c r="C411" t="str">
        <x:v>30.09</x:v>
      </x:c>
      <x:c r="D411" t="str">
        <x:v>Ledig ikke ret til dagpenge</x:v>
      </x:c>
      <x:c r="E411" s="26" t="n">
        <x:v>58</x:v>
      </x:c>
      <x:c r="F411" s="32" t="b">
        <x:v>0</x:v>
      </x:c>
    </x:row>
    <x:row r="412">
      <x:c r="A412" s="38" t="n">
        <x:v>45930</x:v>
      </x:c>
      <x:c r="B412" t="n">
        <x:v>2025</x:v>
      </x:c>
      <x:c r="C412" t="str">
        <x:v>30.09</x:v>
      </x:c>
      <x:c r="D412" t="str">
        <x:v>Normaltansat under 20 timer</x:v>
      </x:c>
      <x:c r="E412" s="26" t="n">
        <x:v>109</x:v>
      </x:c>
      <x:c r="F412" s="32" t="b">
        <x:v>0</x:v>
      </x:c>
    </x:row>
    <x:row r="413">
      <x:c r="A413" s="38" t="n">
        <x:v>45930</x:v>
      </x:c>
      <x:c r="B413" t="n">
        <x:v>2025</x:v>
      </x:c>
      <x:c r="C413" t="str">
        <x:v>30.09</x:v>
      </x:c>
      <x:c r="D413" t="str">
        <x:v>DLF og DP ret</x:v>
      </x:c>
      <x:c r="E413" s="26" t="n">
        <x:v>34</x:v>
      </x:c>
      <x:c r="F413" s="32" t="b">
        <x:v>0</x:v>
      </x:c>
    </x:row>
    <x:row r="414">
      <x:c r="A414" s="38" t="n">
        <x:v>45930</x:v>
      </x:c>
      <x:c r="B414" t="n">
        <x:v>2025</x:v>
      </x:c>
      <x:c r="C414" t="str">
        <x:v>30.09</x:v>
      </x:c>
      <x:c r="D414" t="str">
        <x:v>Med løntilskud</x:v>
      </x:c>
      <x:c r="E414" s="26" t="n">
        <x:v>20</x:v>
      </x:c>
      <x:c r="F414" s="32" t="b">
        <x:v>0</x:v>
      </x:c>
    </x:row>
    <x:row r="415">
      <x:c r="A415" s="38" t="n">
        <x:v>45930</x:v>
      </x:c>
      <x:c r="B415" t="n">
        <x:v>2025</x:v>
      </x:c>
      <x:c r="C415" t="str">
        <x:v>30.09</x:v>
      </x:c>
      <x:c r="D415" t="str">
        <x:v>Pensionist DP</x:v>
      </x:c>
      <x:c r="E415" s="26" t="n">
        <x:v>1103</x:v>
      </x:c>
      <x:c r="F415" s="32" t="b">
        <x:v>0</x:v>
      </x:c>
    </x:row>
    <x:row r="416">
      <x:c r="A416" s="38" t="n">
        <x:v>45930</x:v>
      </x:c>
      <x:c r="B416" t="n">
        <x:v>2025</x:v>
      </x:c>
      <x:c r="C416" t="str">
        <x:v>30.09</x:v>
      </x:c>
      <x:c r="D416" t="str">
        <x:v>DM1 Mag. art.</x:v>
      </x:c>
      <x:c r="E416" s="26" t="n">
        <x:v>5</x:v>
      </x:c>
      <x:c r="F416" s="32" t="b">
        <x:v>0</x:v>
      </x:c>
    </x:row>
    <x:row r="417">
      <x:c r="A417" s="38" t="n">
        <x:v>45930</x:v>
      </x:c>
      <x:c r="B417" t="n">
        <x:v>2025</x:v>
      </x:c>
      <x:c r="C417" t="str">
        <x:v>30.09</x:v>
      </x:c>
      <x:c r="D417" t="str">
        <x:v>Æresmedlem</x:v>
      </x:c>
      <x:c r="E417" s="26" t="n">
        <x:v>10</x:v>
      </x:c>
      <x:c r="F417" s="32" t="b">
        <x:v>0</x:v>
      </x:c>
    </x:row>
    <x:row r="418">
      <x:c r="A418" s="38" t="n">
        <x:v>45930</x:v>
      </x:c>
      <x:c r="B418" t="n">
        <x:v>2025</x:v>
      </x:c>
      <x:c r="C418" t="str">
        <x:v>30.09</x:v>
      </x:c>
      <x:c r="D418" t="str">
        <x:v>DP medlem</x:v>
      </x:c>
      <x:c r="E418" s="26" t="n">
        <x:v>0</x:v>
      </x:c>
      <x:c r="F418" s="32" t="b">
        <x:v>0</x:v>
      </x:c>
    </x:row>
    <x:row r="419">
      <x:c r="A419" s="38" t="n">
        <x:v>45930</x:v>
      </x:c>
      <x:c r="B419" t="n">
        <x:v>2025</x:v>
      </x:c>
      <x:c r="C419" t="str">
        <x:v>30.09</x:v>
      </x:c>
      <x:c r="D419" t="str">
        <x:v>Alle medlemmer</x:v>
      </x:c>
      <x:c r="E419" s="26" t="n">
        <x:v>13090</x:v>
      </x:c>
      <x:c r="F419" s="32" t="b">
        <x:v>1</x:v>
      </x:c>
    </x:row>
    <x:row r="420">
      <x:c r="A420" s="38" t="n">
        <x:v>46022</x:v>
      </x:c>
      <x:c r="B420" t="n">
        <x:v>2025</x:v>
      </x:c>
      <x:c r="C420" t="str">
        <x:v>31.12</x:v>
      </x:c>
      <x:c r="D420" t="str">
        <x:v>Normaltansat over 19 timer</x:v>
      </x:c>
      <x:c r="E420" s="26" t="n">
        <x:v>5826</x:v>
      </x:c>
      <x:c r="F420" s="32" t="b">
        <x:v>0</x:v>
      </x:c>
    </x:row>
    <x:row r="421">
      <x:c r="A421" s="38" t="n">
        <x:v>46022</x:v>
      </x:c>
      <x:c r="B421" t="n">
        <x:v>2025</x:v>
      </x:c>
      <x:c r="C421" t="str">
        <x:v>31.12</x:v>
      </x:c>
      <x:c r="D421" t="str">
        <x:v>Psykologistuderende</x:v>
      </x:c>
      <x:c r="E421" s="26" t="n">
        <x:v>1</x:v>
      </x:c>
      <x:c r="F421" s="32" t="b">
        <x:v>0</x:v>
      </x:c>
    </x:row>
    <x:row r="422">
      <x:c r="A422" s="38" t="n">
        <x:v>46022</x:v>
      </x:c>
      <x:c r="B422" t="n">
        <x:v>2025</x:v>
      </x:c>
      <x:c r="C422" t="str">
        <x:v>31.12</x:v>
      </x:c>
      <x:c r="D422" t="str">
        <x:v>Pensionist DP - Udland</x:v>
      </x:c>
      <x:c r="E422" s="26" t="n">
        <x:v>19</x:v>
      </x:c>
      <x:c r="F422" s="32" t="b">
        <x:v>0</x:v>
      </x:c>
    </x:row>
    <x:row r="423">
      <x:c r="A423" s="38" t="n">
        <x:v>46022</x:v>
      </x:c>
      <x:c r="B423" t="n">
        <x:v>2025</x:v>
      </x:c>
      <x:c r="C423" t="str">
        <x:v>31.12</x:v>
      </x:c>
      <x:c r="D423" t="str">
        <x:v>Ledig DP</x:v>
      </x:c>
      <x:c r="E423" s="26" t="n">
        <x:v>394</x:v>
      </x:c>
      <x:c r="F423" s="32" t="b">
        <x:v>0</x:v>
      </x:c>
    </x:row>
    <x:row r="424">
      <x:c r="A424" s="38" t="n">
        <x:v>46022</x:v>
      </x:c>
      <x:c r="B424" t="n">
        <x:v>2025</x:v>
      </x:c>
      <x:c r="C424" t="str">
        <x:v>31.12</x:v>
      </x:c>
      <x:c r="D424" t="str">
        <x:v>1 og 2 års Kandidater</x:v>
      </x:c>
      <x:c r="E424" s="26" t="n">
        <x:v>884</x:v>
      </x:c>
      <x:c r="F424" s="32" t="b">
        <x:v>0</x:v>
      </x:c>
    </x:row>
    <x:row r="425">
      <x:c r="A425" s="38" t="n">
        <x:v>46022</x:v>
      </x:c>
      <x:c r="B425" t="n">
        <x:v>2025</x:v>
      </x:c>
      <x:c r="C425" t="str">
        <x:v>31.12</x:v>
      </x:c>
      <x:c r="D425" t="str">
        <x:v>Selvstændig</x:v>
      </x:c>
      <x:c r="E425" s="26" t="n">
        <x:v>2481</x:v>
      </x:c>
      <x:c r="F425" s="32" t="b">
        <x:v>0</x:v>
      </x:c>
    </x:row>
    <x:row r="426">
      <x:c r="A426" s="38" t="n">
        <x:v>46022</x:v>
      </x:c>
      <x:c r="B426" t="n">
        <x:v>2025</x:v>
      </x:c>
      <x:c r="C426" t="str">
        <x:v>31.12</x:v>
      </x:c>
      <x:c r="D426" t="str">
        <x:v>Studerende DP</x:v>
      </x:c>
      <x:c r="E426" s="26" t="n">
        <x:v>1995</x:v>
      </x:c>
      <x:c r="F426" s="32" t="b">
        <x:v>0</x:v>
      </x:c>
    </x:row>
    <x:row r="427">
      <x:c r="A427" s="38" t="n">
        <x:v>46022</x:v>
      </x:c>
      <x:c r="B427" t="n">
        <x:v>2025</x:v>
      </x:c>
      <x:c r="C427" t="str">
        <x:v>31.12</x:v>
      </x:c>
      <x:c r="D427" t="str">
        <x:v>Ph.d. studerende</x:v>
      </x:c>
      <x:c r="E427" s="26" t="n">
        <x:v>50</x:v>
      </x:c>
      <x:c r="F427" s="32" t="b">
        <x:v>0</x:v>
      </x:c>
    </x:row>
    <x:row r="428">
      <x:c r="A428" s="38" t="n">
        <x:v>46022</x:v>
      </x:c>
      <x:c r="B428" t="n">
        <x:v>2025</x:v>
      </x:c>
      <x:c r="C428" t="str">
        <x:v>31.12</x:v>
      </x:c>
      <x:c r="D428" t="str">
        <x:v>Orlov uden løn DP</x:v>
      </x:c>
      <x:c r="E428" s="26" t="n">
        <x:v>58</x:v>
      </x:c>
      <x:c r="F428" s="32" t="b">
        <x:v>0</x:v>
      </x:c>
    </x:row>
    <x:row r="429">
      <x:c r="A429" s="38" t="n">
        <x:v>46022</x:v>
      </x:c>
      <x:c r="B429" t="n">
        <x:v>2025</x:v>
      </x:c>
      <x:c r="C429" t="str">
        <x:v>31.12</x:v>
      </x:c>
      <x:c r="D429" t="str">
        <x:v>Udland DP</x:v>
      </x:c>
      <x:c r="E429" s="26" t="n">
        <x:v>53</x:v>
      </x:c>
      <x:c r="F429" s="32" t="b">
        <x:v>0</x:v>
      </x:c>
    </x:row>
    <x:row r="430">
      <x:c r="A430" s="38" t="n">
        <x:v>46022</x:v>
      </x:c>
      <x:c r="B430" t="n">
        <x:v>2025</x:v>
      </x:c>
      <x:c r="C430" t="str">
        <x:v>31.12</x:v>
      </x:c>
      <x:c r="D430" t="str">
        <x:v>Anden forhandlingsret</x:v>
      </x:c>
      <x:c r="E430" s="26" t="n">
        <x:v>28</x:v>
      </x:c>
      <x:c r="F430" s="32" t="b">
        <x:v>0</x:v>
      </x:c>
    </x:row>
    <x:row r="431">
      <x:c r="A431" s="38" t="n">
        <x:v>46022</x:v>
      </x:c>
      <x:c r="B431" t="n">
        <x:v>2025</x:v>
      </x:c>
      <x:c r="C431" t="str">
        <x:v>31.12</x:v>
      </x:c>
      <x:c r="D431" t="str">
        <x:v>Efterløn DP</x:v>
      </x:c>
      <x:c r="E431" s="26" t="n">
        <x:v>15</x:v>
      </x:c>
      <x:c r="F431" s="32" t="b">
        <x:v>0</x:v>
      </x:c>
    </x:row>
    <x:row r="432">
      <x:c r="A432" s="38" t="n">
        <x:v>46022</x:v>
      </x:c>
      <x:c r="B432" t="n">
        <x:v>2025</x:v>
      </x:c>
      <x:c r="C432" t="str">
        <x:v>31.12</x:v>
      </x:c>
      <x:c r="D432" t="str">
        <x:v>DLF og DLF ret</x:v>
      </x:c>
      <x:c r="E432" s="26" t="n">
        <x:v>101</x:v>
      </x:c>
      <x:c r="F432" s="32" t="b">
        <x:v>0</x:v>
      </x:c>
    </x:row>
    <x:row r="433">
      <x:c r="A433" s="38" t="n">
        <x:v>46022</x:v>
      </x:c>
      <x:c r="B433" t="n">
        <x:v>2025</x:v>
      </x:c>
      <x:c r="C433" t="str">
        <x:v>31.12</x:v>
      </x:c>
      <x:c r="D433" t="str">
        <x:v>Ledig ikke ret til dagpenge</x:v>
      </x:c>
      <x:c r="E433" s="26" t="n">
        <x:v>60</x:v>
      </x:c>
      <x:c r="F433" s="32" t="b">
        <x:v>0</x:v>
      </x:c>
    </x:row>
    <x:row r="434">
      <x:c r="A434" s="38" t="n">
        <x:v>46022</x:v>
      </x:c>
      <x:c r="B434" t="n">
        <x:v>2025</x:v>
      </x:c>
      <x:c r="C434" t="str">
        <x:v>31.12</x:v>
      </x:c>
      <x:c r="D434" t="str">
        <x:v>Normaltansat under 20 timer</x:v>
      </x:c>
      <x:c r="E434" s="26" t="n">
        <x:v>107</x:v>
      </x:c>
      <x:c r="F434" s="32" t="b">
        <x:v>0</x:v>
      </x:c>
    </x:row>
    <x:row r="435">
      <x:c r="A435" s="38" t="n">
        <x:v>46022</x:v>
      </x:c>
      <x:c r="B435" t="n">
        <x:v>2025</x:v>
      </x:c>
      <x:c r="C435" t="str">
        <x:v>31.12</x:v>
      </x:c>
      <x:c r="D435" t="str">
        <x:v>DLF og DP ret</x:v>
      </x:c>
      <x:c r="E435" s="26" t="n">
        <x:v>32</x:v>
      </x:c>
      <x:c r="F435" s="32" t="b">
        <x:v>0</x:v>
      </x:c>
    </x:row>
    <x:row r="436">
      <x:c r="A436" s="38" t="n">
        <x:v>46022</x:v>
      </x:c>
      <x:c r="B436" t="n">
        <x:v>2025</x:v>
      </x:c>
      <x:c r="C436" t="str">
        <x:v>31.12</x:v>
      </x:c>
      <x:c r="D436" t="str">
        <x:v>Med løntilskud</x:v>
      </x:c>
      <x:c r="E436" s="26" t="n">
        <x:v>20</x:v>
      </x:c>
      <x:c r="F436" s="32" t="b">
        <x:v>0</x:v>
      </x:c>
    </x:row>
    <x:row r="437">
      <x:c r="A437" s="38" t="n">
        <x:v>46022</x:v>
      </x:c>
      <x:c r="B437" t="n">
        <x:v>2025</x:v>
      </x:c>
      <x:c r="C437" t="str">
        <x:v>31.12</x:v>
      </x:c>
      <x:c r="D437" t="str">
        <x:v>Pensionist DP</x:v>
      </x:c>
      <x:c r="E437" s="26" t="n">
        <x:v>1109</x:v>
      </x:c>
      <x:c r="F437" s="32" t="b">
        <x:v>0</x:v>
      </x:c>
    </x:row>
    <x:row r="438">
      <x:c r="A438" s="38" t="n">
        <x:v>46022</x:v>
      </x:c>
      <x:c r="B438" t="n">
        <x:v>2025</x:v>
      </x:c>
      <x:c r="C438" t="str">
        <x:v>31.12</x:v>
      </x:c>
      <x:c r="D438" t="str">
        <x:v>DM1 Mag. art.</x:v>
      </x:c>
      <x:c r="E438" s="26" t="n">
        <x:v>5</x:v>
      </x:c>
      <x:c r="F438" s="32" t="b">
        <x:v>0</x:v>
      </x:c>
    </x:row>
    <x:row r="439">
      <x:c r="A439" s="38" t="n">
        <x:v>46022</x:v>
      </x:c>
      <x:c r="B439" t="n">
        <x:v>2025</x:v>
      </x:c>
      <x:c r="C439" t="str">
        <x:v>31.12</x:v>
      </x:c>
      <x:c r="D439" t="str">
        <x:v>Æresmedlem</x:v>
      </x:c>
      <x:c r="E439" s="26" t="n">
        <x:v>10</x:v>
      </x:c>
      <x:c r="F439" s="32" t="b">
        <x:v>0</x:v>
      </x:c>
    </x:row>
    <x:row r="440">
      <x:c r="A440" s="38" t="n">
        <x:v>46022</x:v>
      </x:c>
      <x:c r="B440" t="n">
        <x:v>2025</x:v>
      </x:c>
      <x:c r="C440" t="str">
        <x:v>31.12</x:v>
      </x:c>
      <x:c r="D440" t="str">
        <x:v>DP medlem</x:v>
      </x:c>
      <x:c r="E440" s="26" t="n">
        <x:v>0</x:v>
      </x:c>
      <x:c r="F440" s="32" t="b">
        <x:v>0</x:v>
      </x:c>
    </x:row>
    <x:row r="441">
      <x:c r="A441" s="38" t="n">
        <x:v>46022</x:v>
      </x:c>
      <x:c r="B441" t="n">
        <x:v>2025</x:v>
      </x:c>
      <x:c r="C441" t="str">
        <x:v>31.12</x:v>
      </x:c>
      <x:c r="D441" t="str">
        <x:v>Alle medlemmer</x:v>
      </x:c>
      <x:c r="E441" s="26" t="n">
        <x:v>13248</x:v>
      </x:c>
      <x:c r="F441" s="32" t="b">
        <x:v>1</x:v>
      </x:c>
    </x:row>
    <x:row r="442">
      <x:c r="A442" s="38" t="n">
        <x:v>46053</x:v>
      </x:c>
      <x:c r="B442" t="n">
        <x:v>2026</x:v>
      </x:c>
      <x:c r="C442" t="str">
        <x:v>31.01</x:v>
      </x:c>
      <x:c r="D442" t="str">
        <x:v>Normaltansat over 19 timer</x:v>
      </x:c>
      <x:c r="E442" s="26" t="n">
        <x:v>5847</x:v>
      </x:c>
      <x:c r="F442" s="32" t="b">
        <x:v>0</x:v>
      </x:c>
    </x:row>
    <x:row r="443">
      <x:c r="A443" s="38" t="n">
        <x:v>46053</x:v>
      </x:c>
      <x:c r="B443" t="n">
        <x:v>2026</x:v>
      </x:c>
      <x:c r="C443" t="str">
        <x:v>31.01</x:v>
      </x:c>
      <x:c r="D443" t="str">
        <x:v>Psykologistuderende</x:v>
      </x:c>
      <x:c r="E443" s="26" t="n">
        <x:v>1</x:v>
      </x:c>
      <x:c r="F443" s="32" t="b">
        <x:v>0</x:v>
      </x:c>
    </x:row>
    <x:row r="444">
      <x:c r="A444" s="38" t="n">
        <x:v>46053</x:v>
      </x:c>
      <x:c r="B444" t="n">
        <x:v>2026</x:v>
      </x:c>
      <x:c r="C444" t="str">
        <x:v>31.01</x:v>
      </x:c>
      <x:c r="D444" t="str">
        <x:v>Pensionist DP - Udland</x:v>
      </x:c>
      <x:c r="E444" s="26" t="n">
        <x:v>18</x:v>
      </x:c>
      <x:c r="F444" s="32" t="b">
        <x:v>0</x:v>
      </x:c>
    </x:row>
    <x:row r="445">
      <x:c r="A445" s="38" t="n">
        <x:v>46053</x:v>
      </x:c>
      <x:c r="B445" t="n">
        <x:v>2026</x:v>
      </x:c>
      <x:c r="C445" t="str">
        <x:v>31.01</x:v>
      </x:c>
      <x:c r="D445" t="str">
        <x:v>Ledig DP</x:v>
      </x:c>
      <x:c r="E445" s="26" t="n">
        <x:v>379</x:v>
      </x:c>
      <x:c r="F445" s="32" t="b">
        <x:v>0</x:v>
      </x:c>
    </x:row>
    <x:row r="446">
      <x:c r="A446" s="38" t="n">
        <x:v>46053</x:v>
      </x:c>
      <x:c r="B446" t="n">
        <x:v>2026</x:v>
      </x:c>
      <x:c r="C446" t="str">
        <x:v>31.01</x:v>
      </x:c>
      <x:c r="D446" t="str">
        <x:v>1 og 2 års Kandidater</x:v>
      </x:c>
      <x:c r="E446" s="26" t="n">
        <x:v>880</x:v>
      </x:c>
      <x:c r="F446" s="32" t="b">
        <x:v>0</x:v>
      </x:c>
    </x:row>
    <x:row r="447">
      <x:c r="A447" s="38" t="n">
        <x:v>46053</x:v>
      </x:c>
      <x:c r="B447" t="n">
        <x:v>2026</x:v>
      </x:c>
      <x:c r="C447" t="str">
        <x:v>31.01</x:v>
      </x:c>
      <x:c r="D447" t="str">
        <x:v>Selvstændig</x:v>
      </x:c>
      <x:c r="E447" s="26" t="n">
        <x:v>2468</x:v>
      </x:c>
      <x:c r="F447" s="32" t="b">
        <x:v>0</x:v>
      </x:c>
    </x:row>
    <x:row r="448">
      <x:c r="A448" s="38" t="n">
        <x:v>46053</x:v>
      </x:c>
      <x:c r="B448" t="n">
        <x:v>2026</x:v>
      </x:c>
      <x:c r="C448" t="str">
        <x:v>31.01</x:v>
      </x:c>
      <x:c r="D448" t="str">
        <x:v>Studerende DP</x:v>
      </x:c>
      <x:c r="E448" s="26" t="n">
        <x:v>1952</x:v>
      </x:c>
      <x:c r="F448" s="32" t="b">
        <x:v>0</x:v>
      </x:c>
    </x:row>
    <x:row r="449">
      <x:c r="A449" s="38" t="n">
        <x:v>46053</x:v>
      </x:c>
      <x:c r="B449" t="n">
        <x:v>2026</x:v>
      </x:c>
      <x:c r="C449" t="str">
        <x:v>31.01</x:v>
      </x:c>
      <x:c r="D449" t="str">
        <x:v>Ph.d. studerende</x:v>
      </x:c>
      <x:c r="E449" s="26" t="n">
        <x:v>51</x:v>
      </x:c>
      <x:c r="F449" s="32" t="b">
        <x:v>0</x:v>
      </x:c>
    </x:row>
    <x:row r="450">
      <x:c r="A450" s="38" t="n">
        <x:v>46053</x:v>
      </x:c>
      <x:c r="B450" t="n">
        <x:v>2026</x:v>
      </x:c>
      <x:c r="C450" t="str">
        <x:v>31.01</x:v>
      </x:c>
      <x:c r="D450" t="str">
        <x:v>Orlov uden løn DP</x:v>
      </x:c>
      <x:c r="E450" s="26" t="n">
        <x:v>65</x:v>
      </x:c>
      <x:c r="F450" s="32" t="b">
        <x:v>0</x:v>
      </x:c>
    </x:row>
    <x:row r="451">
      <x:c r="A451" s="38" t="n">
        <x:v>46053</x:v>
      </x:c>
      <x:c r="B451" t="n">
        <x:v>2026</x:v>
      </x:c>
      <x:c r="C451" t="str">
        <x:v>31.01</x:v>
      </x:c>
      <x:c r="D451" t="str">
        <x:v>Udland DP</x:v>
      </x:c>
      <x:c r="E451" s="26" t="n">
        <x:v>51</x:v>
      </x:c>
      <x:c r="F451" s="32" t="b">
        <x:v>0</x:v>
      </x:c>
    </x:row>
    <x:row r="452">
      <x:c r="A452" s="38" t="n">
        <x:v>46053</x:v>
      </x:c>
      <x:c r="B452" t="n">
        <x:v>2026</x:v>
      </x:c>
      <x:c r="C452" t="str">
        <x:v>31.01</x:v>
      </x:c>
      <x:c r="D452" t="str">
        <x:v>Anden forhandlingsret</x:v>
      </x:c>
      <x:c r="E452" s="26" t="n">
        <x:v>28</x:v>
      </x:c>
      <x:c r="F452" s="32" t="b">
        <x:v>0</x:v>
      </x:c>
    </x:row>
    <x:row r="453">
      <x:c r="A453" s="38" t="n">
        <x:v>46053</x:v>
      </x:c>
      <x:c r="B453" t="n">
        <x:v>2026</x:v>
      </x:c>
      <x:c r="C453" t="str">
        <x:v>31.01</x:v>
      </x:c>
      <x:c r="D453" t="str">
        <x:v>Efterløn DP</x:v>
      </x:c>
      <x:c r="E453" s="26" t="n">
        <x:v>15</x:v>
      </x:c>
      <x:c r="F453" s="32" t="b">
        <x:v>0</x:v>
      </x:c>
    </x:row>
    <x:row r="454">
      <x:c r="A454" s="38" t="n">
        <x:v>46053</x:v>
      </x:c>
      <x:c r="B454" t="n">
        <x:v>2026</x:v>
      </x:c>
      <x:c r="C454" t="str">
        <x:v>31.01</x:v>
      </x:c>
      <x:c r="D454" t="str">
        <x:v>DLF og DLF ret</x:v>
      </x:c>
      <x:c r="E454" s="26" t="n">
        <x:v>100</x:v>
      </x:c>
      <x:c r="F454" s="32" t="b">
        <x:v>0</x:v>
      </x:c>
    </x:row>
    <x:row r="455">
      <x:c r="A455" s="38" t="n">
        <x:v>46053</x:v>
      </x:c>
      <x:c r="B455" t="n">
        <x:v>2026</x:v>
      </x:c>
      <x:c r="C455" t="str">
        <x:v>31.01</x:v>
      </x:c>
      <x:c r="D455" t="str">
        <x:v>Ledig ikke ret til dagpenge</x:v>
      </x:c>
      <x:c r="E455" s="26" t="n">
        <x:v>65</x:v>
      </x:c>
      <x:c r="F455" s="32" t="b">
        <x:v>0</x:v>
      </x:c>
    </x:row>
    <x:row r="456">
      <x:c r="A456" s="38" t="n">
        <x:v>46053</x:v>
      </x:c>
      <x:c r="B456" t="n">
        <x:v>2026</x:v>
      </x:c>
      <x:c r="C456" t="str">
        <x:v>31.01</x:v>
      </x:c>
      <x:c r="D456" t="str">
        <x:v>Normaltansat under 20 timer</x:v>
      </x:c>
      <x:c r="E456" s="26" t="n">
        <x:v>107</x:v>
      </x:c>
      <x:c r="F456" s="32" t="b">
        <x:v>0</x:v>
      </x:c>
    </x:row>
    <x:row r="457">
      <x:c r="A457" s="38" t="n">
        <x:v>46053</x:v>
      </x:c>
      <x:c r="B457" t="n">
        <x:v>2026</x:v>
      </x:c>
      <x:c r="C457" t="str">
        <x:v>31.01</x:v>
      </x:c>
      <x:c r="D457" t="str">
        <x:v>DLF og DP ret</x:v>
      </x:c>
      <x:c r="E457" s="26" t="n">
        <x:v>32</x:v>
      </x:c>
      <x:c r="F457" s="32" t="b">
        <x:v>0</x:v>
      </x:c>
    </x:row>
    <x:row r="458">
      <x:c r="A458" s="38" t="n">
        <x:v>46053</x:v>
      </x:c>
      <x:c r="B458" t="n">
        <x:v>2026</x:v>
      </x:c>
      <x:c r="C458" t="str">
        <x:v>31.01</x:v>
      </x:c>
      <x:c r="D458" t="str">
        <x:v>Med løntilskud</x:v>
      </x:c>
      <x:c r="E458" s="26" t="n">
        <x:v>21</x:v>
      </x:c>
      <x:c r="F458" s="32" t="b">
        <x:v>0</x:v>
      </x:c>
    </x:row>
    <x:row r="459">
      <x:c r="A459" s="38" t="n">
        <x:v>46053</x:v>
      </x:c>
      <x:c r="B459" t="n">
        <x:v>2026</x:v>
      </x:c>
      <x:c r="C459" t="str">
        <x:v>31.01</x:v>
      </x:c>
      <x:c r="D459" t="str">
        <x:v>Pensionist DP</x:v>
      </x:c>
      <x:c r="E459" s="26" t="n">
        <x:v>1110</x:v>
      </x:c>
      <x:c r="F459" s="32" t="b">
        <x:v>0</x:v>
      </x:c>
    </x:row>
    <x:row r="460">
      <x:c r="A460" s="38" t="n">
        <x:v>46053</x:v>
      </x:c>
      <x:c r="B460" t="n">
        <x:v>2026</x:v>
      </x:c>
      <x:c r="C460" t="str">
        <x:v>31.01</x:v>
      </x:c>
      <x:c r="D460" t="str">
        <x:v>DM1 Mag. art.</x:v>
      </x:c>
      <x:c r="E460" s="26" t="n">
        <x:v>5</x:v>
      </x:c>
      <x:c r="F460" s="32" t="b">
        <x:v>0</x:v>
      </x:c>
    </x:row>
    <x:row r="461">
      <x:c r="A461" s="38" t="n">
        <x:v>46053</x:v>
      </x:c>
      <x:c r="B461" t="n">
        <x:v>2026</x:v>
      </x:c>
      <x:c r="C461" t="str">
        <x:v>31.01</x:v>
      </x:c>
      <x:c r="D461" t="str">
        <x:v>Æresmedlem</x:v>
      </x:c>
      <x:c r="E461" s="26" t="n">
        <x:v>10</x:v>
      </x:c>
      <x:c r="F461" s="32" t="b">
        <x:v>0</x:v>
      </x:c>
    </x:row>
    <x:row r="462">
      <x:c r="A462" s="38" t="n">
        <x:v>46053</x:v>
      </x:c>
      <x:c r="B462" t="n">
        <x:v>2026</x:v>
      </x:c>
      <x:c r="C462" t="str">
        <x:v>31.01</x:v>
      </x:c>
      <x:c r="D462" t="str">
        <x:v>DP medlem</x:v>
      </x:c>
      <x:c r="E462" s="26" t="n">
        <x:v>0</x:v>
      </x:c>
      <x:c r="F462" s="32" t="b">
        <x:v>0</x:v>
      </x:c>
    </x:row>
    <x:row r="463">
      <x:c r="A463" s="38" t="n">
        <x:v>46053</x:v>
      </x:c>
      <x:c r="B463" t="n">
        <x:v>2026</x:v>
      </x:c>
      <x:c r="C463" t="str">
        <x:v>31.01</x:v>
      </x:c>
      <x:c r="D463" t="str">
        <x:v>Alle medlemmer</x:v>
      </x:c>
      <x:c r="E463" s="26" t="n">
        <x:v>13205</x:v>
      </x:c>
      <x:c r="F463" s="32" t="b">
        <x:v>1</x:v>
      </x:c>
    </x:row>
    <x:row r="464">
      <x:c r="A464" s="38" t="n">
        <x:v>46112</x:v>
      </x:c>
      <x:c r="B464" t="n">
        <x:v>2026</x:v>
      </x:c>
      <x:c r="C464" t="str">
        <x:v>31.03</x:v>
      </x:c>
      <x:c r="D464" t="str">
        <x:v>Normaltansat over 19 timer</x:v>
      </x:c>
      <x:c r="E464" s="26" t="n">
        <x:v>5899</x:v>
      </x:c>
      <x:c r="F464" s="32" t="b">
        <x:v>0</x:v>
      </x:c>
    </x:row>
    <x:row r="465">
      <x:c r="A465" s="38" t="n">
        <x:v>46112</x:v>
      </x:c>
      <x:c r="B465" t="n">
        <x:v>2026</x:v>
      </x:c>
      <x:c r="C465" t="str">
        <x:v>31.03</x:v>
      </x:c>
      <x:c r="D465" t="str">
        <x:v>Psykologistuderende</x:v>
      </x:c>
      <x:c r="E465" s="26" t="n">
        <x:v>0</x:v>
      </x:c>
      <x:c r="F465" s="32" t="b">
        <x:v>0</x:v>
      </x:c>
    </x:row>
    <x:row r="466">
      <x:c r="A466" s="38" t="n">
        <x:v>46112</x:v>
      </x:c>
      <x:c r="B466" t="n">
        <x:v>2026</x:v>
      </x:c>
      <x:c r="C466" t="str">
        <x:v>31.03</x:v>
      </x:c>
      <x:c r="D466" t="str">
        <x:v>Pensionist DP - Udland</x:v>
      </x:c>
      <x:c r="E466" s="26" t="n">
        <x:v>18</x:v>
      </x:c>
      <x:c r="F466" s="32" t="b">
        <x:v>0</x:v>
      </x:c>
    </x:row>
    <x:row r="467">
      <x:c r="A467" s="38" t="n">
        <x:v>46112</x:v>
      </x:c>
      <x:c r="B467" t="n">
        <x:v>2026</x:v>
      </x:c>
      <x:c r="C467" t="str">
        <x:v>31.03</x:v>
      </x:c>
      <x:c r="D467" t="str">
        <x:v>Ledig DP</x:v>
      </x:c>
      <x:c r="E467" s="26" t="n">
        <x:v>383</x:v>
      </x:c>
      <x:c r="F467" s="32" t="b">
        <x:v>0</x:v>
      </x:c>
    </x:row>
    <x:row r="468">
      <x:c r="A468" s="38" t="n">
        <x:v>46112</x:v>
      </x:c>
      <x:c r="B468" t="n">
        <x:v>2026</x:v>
      </x:c>
      <x:c r="C468" t="str">
        <x:v>31.03</x:v>
      </x:c>
      <x:c r="D468" t="str">
        <x:v>1 og 2 års Kandidater</x:v>
      </x:c>
      <x:c r="E468" s="26" t="n">
        <x:v>795</x:v>
      </x:c>
      <x:c r="F468" s="32" t="b">
        <x:v>0</x:v>
      </x:c>
    </x:row>
    <x:row r="469">
      <x:c r="A469" s="38" t="n">
        <x:v>46112</x:v>
      </x:c>
      <x:c r="B469" t="n">
        <x:v>2026</x:v>
      </x:c>
      <x:c r="C469" t="str">
        <x:v>31.03</x:v>
      </x:c>
      <x:c r="D469" t="str">
        <x:v>Selvstændig</x:v>
      </x:c>
      <x:c r="E469" s="26" t="n">
        <x:v>2527</x:v>
      </x:c>
      <x:c r="F469" s="32" t="b">
        <x:v>0</x:v>
      </x:c>
    </x:row>
    <x:row r="470">
      <x:c r="A470" s="38" t="n">
        <x:v>46112</x:v>
      </x:c>
      <x:c r="B470" t="n">
        <x:v>2026</x:v>
      </x:c>
      <x:c r="C470" t="str">
        <x:v>31.03</x:v>
      </x:c>
      <x:c r="D470" t="str">
        <x:v>Studerende DP</x:v>
      </x:c>
      <x:c r="E470" s="26" t="n">
        <x:v>1936</x:v>
      </x:c>
      <x:c r="F470" s="32" t="b">
        <x:v>0</x:v>
      </x:c>
    </x:row>
    <x:row r="471">
      <x:c r="A471" s="38" t="n">
        <x:v>46112</x:v>
      </x:c>
      <x:c r="B471" t="n">
        <x:v>2026</x:v>
      </x:c>
      <x:c r="C471" t="str">
        <x:v>31.03</x:v>
      </x:c>
      <x:c r="D471" t="str">
        <x:v>Ph.d. studerende</x:v>
      </x:c>
      <x:c r="E471" s="26" t="n">
        <x:v>47</x:v>
      </x:c>
      <x:c r="F471" s="32" t="b">
        <x:v>0</x:v>
      </x:c>
    </x:row>
    <x:row r="472">
      <x:c r="A472" s="38" t="n">
        <x:v>46112</x:v>
      </x:c>
      <x:c r="B472" t="n">
        <x:v>2026</x:v>
      </x:c>
      <x:c r="C472" t="str">
        <x:v>31.03</x:v>
      </x:c>
      <x:c r="D472" t="str">
        <x:v>Orlov uden løn DP</x:v>
      </x:c>
      <x:c r="E472" s="26" t="n">
        <x:v>76</x:v>
      </x:c>
      <x:c r="F472" s="32" t="b">
        <x:v>0</x:v>
      </x:c>
    </x:row>
    <x:row r="473">
      <x:c r="A473" s="38" t="n">
        <x:v>46112</x:v>
      </x:c>
      <x:c r="B473" t="n">
        <x:v>2026</x:v>
      </x:c>
      <x:c r="C473" t="str">
        <x:v>31.03</x:v>
      </x:c>
      <x:c r="D473" t="str">
        <x:v>Udland DP</x:v>
      </x:c>
      <x:c r="E473" s="26" t="n">
        <x:v>51</x:v>
      </x:c>
      <x:c r="F473" s="32" t="b">
        <x:v>0</x:v>
      </x:c>
    </x:row>
    <x:row r="474">
      <x:c r="A474" s="38" t="n">
        <x:v>46112</x:v>
      </x:c>
      <x:c r="B474" t="n">
        <x:v>2026</x:v>
      </x:c>
      <x:c r="C474" t="str">
        <x:v>31.03</x:v>
      </x:c>
      <x:c r="D474" t="str">
        <x:v>Anden forhandlingsret</x:v>
      </x:c>
      <x:c r="E474" s="26" t="n">
        <x:v>27</x:v>
      </x:c>
      <x:c r="F474" s="32" t="b">
        <x:v>0</x:v>
      </x:c>
    </x:row>
    <x:row r="475">
      <x:c r="A475" s="38" t="n">
        <x:v>46112</x:v>
      </x:c>
      <x:c r="B475" t="n">
        <x:v>2026</x:v>
      </x:c>
      <x:c r="C475" t="str">
        <x:v>31.03</x:v>
      </x:c>
      <x:c r="D475" t="str">
        <x:v>Efterløn DP</x:v>
      </x:c>
      <x:c r="E475" s="26" t="n">
        <x:v>15</x:v>
      </x:c>
      <x:c r="F475" s="32" t="b">
        <x:v>0</x:v>
      </x:c>
    </x:row>
    <x:row r="476">
      <x:c r="A476" s="38" t="n">
        <x:v>46112</x:v>
      </x:c>
      <x:c r="B476" t="n">
        <x:v>2026</x:v>
      </x:c>
      <x:c r="C476" t="str">
        <x:v>31.03</x:v>
      </x:c>
      <x:c r="D476" t="str">
        <x:v>DLF og DLF ret</x:v>
      </x:c>
      <x:c r="E476" s="26" t="n">
        <x:v>100</x:v>
      </x:c>
      <x:c r="F476" s="32" t="b">
        <x:v>0</x:v>
      </x:c>
    </x:row>
    <x:row r="477">
      <x:c r="A477" s="38" t="n">
        <x:v>46112</x:v>
      </x:c>
      <x:c r="B477" t="n">
        <x:v>2026</x:v>
      </x:c>
      <x:c r="C477" t="str">
        <x:v>31.03</x:v>
      </x:c>
      <x:c r="D477" t="str">
        <x:v>Ledig ikke ret til dagpenge</x:v>
      </x:c>
      <x:c r="E477" s="26" t="n">
        <x:v>61</x:v>
      </x:c>
      <x:c r="F477" s="32" t="b">
        <x:v>0</x:v>
      </x:c>
    </x:row>
    <x:row r="478">
      <x:c r="A478" s="38" t="n">
        <x:v>46112</x:v>
      </x:c>
      <x:c r="B478" t="n">
        <x:v>2026</x:v>
      </x:c>
      <x:c r="C478" t="str">
        <x:v>31.03</x:v>
      </x:c>
      <x:c r="D478" t="str">
        <x:v>Normaltansat under 20 timer</x:v>
      </x:c>
      <x:c r="E478" s="26" t="n">
        <x:v>109</x:v>
      </x:c>
      <x:c r="F478" s="32" t="b">
        <x:v>0</x:v>
      </x:c>
    </x:row>
    <x:row r="479">
      <x:c r="A479" s="38" t="n">
        <x:v>46112</x:v>
      </x:c>
      <x:c r="B479" t="n">
        <x:v>2026</x:v>
      </x:c>
      <x:c r="C479" t="str">
        <x:v>31.03</x:v>
      </x:c>
      <x:c r="D479" t="str">
        <x:v>DLF og DP ret</x:v>
      </x:c>
      <x:c r="E479" s="26" t="n">
        <x:v>32</x:v>
      </x:c>
      <x:c r="F479" s="32" t="b">
        <x:v>0</x:v>
      </x:c>
    </x:row>
    <x:row r="480">
      <x:c r="A480" s="38" t="n">
        <x:v>46112</x:v>
      </x:c>
      <x:c r="B480" t="n">
        <x:v>2026</x:v>
      </x:c>
      <x:c r="C480" t="str">
        <x:v>31.03</x:v>
      </x:c>
      <x:c r="D480" t="str">
        <x:v>Med løntilskud</x:v>
      </x:c>
      <x:c r="E480" s="26" t="n">
        <x:v>21</x:v>
      </x:c>
      <x:c r="F480" s="32" t="b">
        <x:v>0</x:v>
      </x:c>
    </x:row>
    <x:row r="481">
      <x:c r="A481" s="38" t="n">
        <x:v>46112</x:v>
      </x:c>
      <x:c r="B481" t="n">
        <x:v>2026</x:v>
      </x:c>
      <x:c r="C481" t="str">
        <x:v>31.03</x:v>
      </x:c>
      <x:c r="D481" t="str">
        <x:v>Pensionist DP</x:v>
      </x:c>
      <x:c r="E481" s="26" t="n">
        <x:v>1101</x:v>
      </x:c>
      <x:c r="F481" s="32" t="b">
        <x:v>0</x:v>
      </x:c>
    </x:row>
    <x:row r="482">
      <x:c r="A482" s="38" t="n">
        <x:v>46112</x:v>
      </x:c>
      <x:c r="B482" t="n">
        <x:v>2026</x:v>
      </x:c>
      <x:c r="C482" t="str">
        <x:v>31.03</x:v>
      </x:c>
      <x:c r="D482" t="str">
        <x:v>DM1 Mag. art.</x:v>
      </x:c>
      <x:c r="E482" s="26" t="n">
        <x:v>4</x:v>
      </x:c>
      <x:c r="F482" s="32" t="b">
        <x:v>0</x:v>
      </x:c>
    </x:row>
    <x:row r="483">
      <x:c r="A483" s="38" t="n">
        <x:v>46112</x:v>
      </x:c>
      <x:c r="B483" t="n">
        <x:v>2026</x:v>
      </x:c>
      <x:c r="C483" t="str">
        <x:v>31.03</x:v>
      </x:c>
      <x:c r="D483" t="str">
        <x:v>Æresmedlem</x:v>
      </x:c>
      <x:c r="E483" s="26" t="n">
        <x:v>10</x:v>
      </x:c>
      <x:c r="F483" s="32" t="b">
        <x:v>0</x:v>
      </x:c>
    </x:row>
    <x:row r="484">
      <x:c r="A484" s="38" t="n">
        <x:v>46112</x:v>
      </x:c>
      <x:c r="B484" t="n">
        <x:v>2026</x:v>
      </x:c>
      <x:c r="C484" t="str">
        <x:v>31.03</x:v>
      </x:c>
      <x:c r="D484" t="str">
        <x:v>DP medlem</x:v>
      </x:c>
      <x:c r="E484" s="26" t="n">
        <x:v>0</x:v>
      </x:c>
      <x:c r="F484" s="32" t="b">
        <x:v>0</x:v>
      </x:c>
    </x:row>
    <x:row r="485">
      <x:c r="A485" s="38" t="n">
        <x:v>46112</x:v>
      </x:c>
      <x:c r="B485" t="n">
        <x:v>2026</x:v>
      </x:c>
      <x:c r="C485" t="str">
        <x:v>31.03</x:v>
      </x:c>
      <x:c r="D485" t="str">
        <x:v>Alle medlemmer</x:v>
      </x:c>
      <x:c r="E485" s="26" t="n">
        <x:v>13212</x:v>
      </x:c>
      <x:c r="F485" s="32" t="b">
        <x:v>1</x:v>
      </x:c>
    </x:row>
    <x:row r="486">
      <x:c r="A486" s="38" t="n">
        <x:v>46173</x:v>
      </x:c>
      <x:c r="B486" t="n">
        <x:v>2026</x:v>
      </x:c>
      <x:c r="C486" t="str">
        <x:v>31.05</x:v>
      </x:c>
      <x:c r="D486" t="str">
        <x:v>Normaltansat over 19 timer</x:v>
      </x:c>
      <x:c r="E486" s="26" t="n">
        <x:v>5896</x:v>
      </x:c>
      <x:c r="F486" s="32" t="b">
        <x:v>0</x:v>
      </x:c>
    </x:row>
    <x:row r="487">
      <x:c r="A487" s="38" t="n">
        <x:v>46173</x:v>
      </x:c>
      <x:c r="B487" t="n">
        <x:v>2026</x:v>
      </x:c>
      <x:c r="C487" t="str">
        <x:v>31.05</x:v>
      </x:c>
      <x:c r="D487" t="str">
        <x:v>Psykologistuderende</x:v>
      </x:c>
      <x:c r="E487" s="26" t="n">
        <x:v>0</x:v>
      </x:c>
      <x:c r="F487" s="32" t="b">
        <x:v>0</x:v>
      </x:c>
    </x:row>
    <x:row r="488">
      <x:c r="A488" s="38" t="n">
        <x:v>46173</x:v>
      </x:c>
      <x:c r="B488" t="n">
        <x:v>2026</x:v>
      </x:c>
      <x:c r="C488" t="str">
        <x:v>31.05</x:v>
      </x:c>
      <x:c r="D488" t="str">
        <x:v>Pensionist DP - Udland</x:v>
      </x:c>
      <x:c r="E488" s="26" t="n">
        <x:v>18</x:v>
      </x:c>
      <x:c r="F488" s="32" t="b">
        <x:v>0</x:v>
      </x:c>
    </x:row>
    <x:row r="489">
      <x:c r="A489" s="38" t="n">
        <x:v>46173</x:v>
      </x:c>
      <x:c r="B489" t="n">
        <x:v>2026</x:v>
      </x:c>
      <x:c r="C489" t="str">
        <x:v>31.05</x:v>
      </x:c>
      <x:c r="D489" t="str">
        <x:v>Ledig DP</x:v>
      </x:c>
      <x:c r="E489" s="26" t="n">
        <x:v>367</x:v>
      </x:c>
      <x:c r="F489" s="32" t="b">
        <x:v>0</x:v>
      </x:c>
    </x:row>
    <x:row r="490">
      <x:c r="A490" s="38" t="n">
        <x:v>46173</x:v>
      </x:c>
      <x:c r="B490" t="n">
        <x:v>2026</x:v>
      </x:c>
      <x:c r="C490" t="str">
        <x:v>31.05</x:v>
      </x:c>
      <x:c r="D490" t="str">
        <x:v>1 og 2 års Kandidater</x:v>
      </x:c>
      <x:c r="E490" s="26" t="n">
        <x:v>898</x:v>
      </x:c>
      <x:c r="F490" s="32" t="b">
        <x:v>0</x:v>
      </x:c>
    </x:row>
    <x:row r="491">
      <x:c r="A491" s="38" t="n">
        <x:v>46173</x:v>
      </x:c>
      <x:c r="B491" t="n">
        <x:v>2026</x:v>
      </x:c>
      <x:c r="C491" t="str">
        <x:v>31.05</x:v>
      </x:c>
      <x:c r="D491" t="str">
        <x:v>Selvstændig</x:v>
      </x:c>
      <x:c r="E491" s="26" t="n">
        <x:v>2551</x:v>
      </x:c>
      <x:c r="F491" s="32" t="b">
        <x:v>0</x:v>
      </x:c>
    </x:row>
    <x:row r="492">
      <x:c r="A492" s="38" t="n">
        <x:v>46173</x:v>
      </x:c>
      <x:c r="B492" t="n">
        <x:v>2026</x:v>
      </x:c>
      <x:c r="C492" t="str">
        <x:v>31.05</x:v>
      </x:c>
      <x:c r="D492" t="str">
        <x:v>Studerende DP</x:v>
      </x:c>
      <x:c r="E492" s="26" t="n">
        <x:v>1887</x:v>
      </x:c>
      <x:c r="F492" s="32" t="b">
        <x:v>0</x:v>
      </x:c>
    </x:row>
    <x:row r="493">
      <x:c r="A493" s="38" t="n">
        <x:v>46173</x:v>
      </x:c>
      <x:c r="B493" t="n">
        <x:v>2026</x:v>
      </x:c>
      <x:c r="C493" t="str">
        <x:v>31.05</x:v>
      </x:c>
      <x:c r="D493" t="str">
        <x:v>Ph.d. studerende</x:v>
      </x:c>
      <x:c r="E493" s="26" t="n">
        <x:v>47</x:v>
      </x:c>
      <x:c r="F493" s="32" t="b">
        <x:v>0</x:v>
      </x:c>
    </x:row>
    <x:row r="494">
      <x:c r="A494" s="38" t="n">
        <x:v>46173</x:v>
      </x:c>
      <x:c r="B494" t="n">
        <x:v>2026</x:v>
      </x:c>
      <x:c r="C494" t="str">
        <x:v>31.05</x:v>
      </x:c>
      <x:c r="D494" t="str">
        <x:v>Orlov uden løn DP</x:v>
      </x:c>
      <x:c r="E494" s="26" t="n">
        <x:v>66</x:v>
      </x:c>
      <x:c r="F494" s="32" t="b">
        <x:v>0</x:v>
      </x:c>
    </x:row>
    <x:row r="495">
      <x:c r="A495" s="38" t="n">
        <x:v>46173</x:v>
      </x:c>
      <x:c r="B495" t="n">
        <x:v>2026</x:v>
      </x:c>
      <x:c r="C495" t="str">
        <x:v>31.05</x:v>
      </x:c>
      <x:c r="D495" t="str">
        <x:v>Udland DP</x:v>
      </x:c>
      <x:c r="E495" s="26" t="n">
        <x:v>49</x:v>
      </x:c>
      <x:c r="F495" s="32" t="b">
        <x:v>0</x:v>
      </x:c>
    </x:row>
    <x:row r="496">
      <x:c r="A496" s="38" t="n">
        <x:v>46173</x:v>
      </x:c>
      <x:c r="B496" t="n">
        <x:v>2026</x:v>
      </x:c>
      <x:c r="C496" t="str">
        <x:v>31.05</x:v>
      </x:c>
      <x:c r="D496" t="str">
        <x:v>Anden forhandlingsret</x:v>
      </x:c>
      <x:c r="E496" s="26" t="n">
        <x:v>27</x:v>
      </x:c>
      <x:c r="F496" s="32" t="b">
        <x:v>0</x:v>
      </x:c>
    </x:row>
    <x:row r="497">
      <x:c r="A497" s="38" t="n">
        <x:v>46173</x:v>
      </x:c>
      <x:c r="B497" t="n">
        <x:v>2026</x:v>
      </x:c>
      <x:c r="C497" t="str">
        <x:v>31.05</x:v>
      </x:c>
      <x:c r="D497" t="str">
        <x:v>Efterløn DP</x:v>
      </x:c>
      <x:c r="E497" s="26" t="n">
        <x:v>15</x:v>
      </x:c>
      <x:c r="F497" s="32" t="b">
        <x:v>0</x:v>
      </x:c>
    </x:row>
    <x:row r="498">
      <x:c r="A498" s="38" t="n">
        <x:v>46173</x:v>
      </x:c>
      <x:c r="B498" t="n">
        <x:v>2026</x:v>
      </x:c>
      <x:c r="C498" t="str">
        <x:v>31.05</x:v>
      </x:c>
      <x:c r="D498" t="str">
        <x:v>DLF og DLF ret</x:v>
      </x:c>
      <x:c r="E498" s="26" t="n">
        <x:v>96</x:v>
      </x:c>
      <x:c r="F498" s="32" t="b">
        <x:v>0</x:v>
      </x:c>
    </x:row>
    <x:row r="499">
      <x:c r="A499" s="38" t="n">
        <x:v>46173</x:v>
      </x:c>
      <x:c r="B499" t="n">
        <x:v>2026</x:v>
      </x:c>
      <x:c r="C499" t="str">
        <x:v>31.05</x:v>
      </x:c>
      <x:c r="D499" t="str">
        <x:v>Ledig ikke ret til dagpenge</x:v>
      </x:c>
      <x:c r="E499" s="26" t="n">
        <x:v>54</x:v>
      </x:c>
      <x:c r="F499" s="32" t="b">
        <x:v>0</x:v>
      </x:c>
    </x:row>
    <x:row r="500">
      <x:c r="A500" s="38" t="n">
        <x:v>46173</x:v>
      </x:c>
      <x:c r="B500" t="n">
        <x:v>2026</x:v>
      </x:c>
      <x:c r="C500" t="str">
        <x:v>31.05</x:v>
      </x:c>
      <x:c r="D500" t="str">
        <x:v>Normaltansat under 20 timer</x:v>
      </x:c>
      <x:c r="E500" s="26" t="n">
        <x:v>110</x:v>
      </x:c>
      <x:c r="F500" s="32" t="b">
        <x:v>0</x:v>
      </x:c>
    </x:row>
    <x:row r="501">
      <x:c r="A501" s="38" t="n">
        <x:v>46173</x:v>
      </x:c>
      <x:c r="B501" t="n">
        <x:v>2026</x:v>
      </x:c>
      <x:c r="C501" t="str">
        <x:v>31.05</x:v>
      </x:c>
      <x:c r="D501" t="str">
        <x:v>DLF og DP ret</x:v>
      </x:c>
      <x:c r="E501" s="26" t="n">
        <x:v>31</x:v>
      </x:c>
      <x:c r="F501" s="32" t="b">
        <x:v>0</x:v>
      </x:c>
    </x:row>
    <x:row r="502">
      <x:c r="A502" s="38" t="n">
        <x:v>46173</x:v>
      </x:c>
      <x:c r="B502" t="n">
        <x:v>2026</x:v>
      </x:c>
      <x:c r="C502" t="str">
        <x:v>31.05</x:v>
      </x:c>
      <x:c r="D502" t="str">
        <x:v>Med løntilskud</x:v>
      </x:c>
      <x:c r="E502" s="26" t="n">
        <x:v>21</x:v>
      </x:c>
      <x:c r="F502" s="32" t="b">
        <x:v>0</x:v>
      </x:c>
    </x:row>
    <x:row r="503">
      <x:c r="A503" s="38" t="n">
        <x:v>46173</x:v>
      </x:c>
      <x:c r="B503" t="n">
        <x:v>2026</x:v>
      </x:c>
      <x:c r="C503" t="str">
        <x:v>31.05</x:v>
      </x:c>
      <x:c r="D503" t="str">
        <x:v>Pensionist DP</x:v>
      </x:c>
      <x:c r="E503" s="26" t="n">
        <x:v>1086</x:v>
      </x:c>
      <x:c r="F503" s="32" t="b">
        <x:v>0</x:v>
      </x:c>
    </x:row>
    <x:row r="504">
      <x:c r="A504" s="38" t="n">
        <x:v>46173</x:v>
      </x:c>
      <x:c r="B504" t="n">
        <x:v>2026</x:v>
      </x:c>
      <x:c r="C504" t="str">
        <x:v>31.05</x:v>
      </x:c>
      <x:c r="D504" t="str">
        <x:v>DM1 Mag. art.</x:v>
      </x:c>
      <x:c r="E504" s="26" t="n">
        <x:v>4</x:v>
      </x:c>
      <x:c r="F504" s="32" t="b">
        <x:v>0</x:v>
      </x:c>
    </x:row>
    <x:row r="505">
      <x:c r="A505" s="38" t="n">
        <x:v>46173</x:v>
      </x:c>
      <x:c r="B505" t="n">
        <x:v>2026</x:v>
      </x:c>
      <x:c r="C505" t="str">
        <x:v>31.05</x:v>
      </x:c>
      <x:c r="D505" t="str">
        <x:v>Æresmedlem</x:v>
      </x:c>
      <x:c r="E505" s="26" t="n">
        <x:v>10</x:v>
      </x:c>
      <x:c r="F505" s="32" t="b">
        <x:v>0</x:v>
      </x:c>
    </x:row>
    <x:row r="506">
      <x:c r="A506" s="38" t="n">
        <x:v>46173</x:v>
      </x:c>
      <x:c r="B506" t="n">
        <x:v>2026</x:v>
      </x:c>
      <x:c r="C506" t="str">
        <x:v>31.05</x:v>
      </x:c>
      <x:c r="D506" t="str">
        <x:v>DP medlem</x:v>
      </x:c>
      <x:c r="E506" s="26" t="n">
        <x:v>0</x:v>
      </x:c>
      <x:c r="F506" s="32" t="b">
        <x:v>0</x:v>
      </x:c>
    </x:row>
    <x:row r="507">
      <x:c r="A507" s="38" t="n">
        <x:v>46173</x:v>
      </x:c>
      <x:c r="B507" t="n">
        <x:v>2026</x:v>
      </x:c>
      <x:c r="C507" t="str">
        <x:v>31.05</x:v>
      </x:c>
      <x:c r="D507" t="str">
        <x:v>Alle medlemmer</x:v>
      </x:c>
      <x:c r="E507" s="26" t="n">
        <x:v>13233</x:v>
      </x:c>
      <x:c r="F507" s="3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63bbdb17f944c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4.25" hidden="0" customWidth="1"/>
    <x:col min="3" max="3" width="14" hidden="0" customWidth="1"/>
    <x:col min="4" max="4" width="14.380000114440918" hidden="0" customWidth="1"/>
    <x:col min="5" max="5" width="16.8799991607666" hidden="0" customWidth="1"/>
    <x:col min="6" max="6" width="18.3799991607666" hidden="0" customWidth="1"/>
  </x:cols>
  <x:sheetData>
    <x:row r="1" ht="24" customHeight="1">
      <x:c r="A1" s="5" t="str">
        <x:v>Samlet medlemsudvikling</x:v>
      </x:c>
    </x:row>
    <x:row r="3">
      <x:c r="A3" s="14" t="str">
        <x:v>Dato</x:v>
      </x:c>
      <x:c r="B3" s="14" t="str">
        <x:v>År</x:v>
      </x:c>
      <x:c r="C3" s="14" t="str">
        <x:v>Nedslagspunkt</x:v>
      </x:c>
      <x:c r="D3" s="14" t="str">
        <x:v>Antal medlemmer</x:v>
      </x:c>
      <x:c r="E3" s="14" t="str">
        <x:v>Ændring siden forrige</x:v>
      </x:c>
      <x:c r="F3" s="14" t="str">
        <x:v>Ændring siden 31.01.22</x:v>
      </x:c>
    </x:row>
    <x:row r="4">
      <x:c r="A4" s="38" t="n">
        <x:v>44592</x:v>
      </x:c>
      <x:c r="B4" t="n">
        <x:v>2022</x:v>
      </x:c>
      <x:c r="C4" t="str">
        <x:v>31.01.22</x:v>
      </x:c>
      <x:c r="D4" s="26" t="n">
        <x:f>'01_Rådata_bred'!$B$23</x:f>
        <x:v>11705</x:v>
      </x:c>
      <x:c r="E4" s="26" t="str"/>
      <x:c r="F4" s="26" t="n">
        <x:f>D4-$D$4</x:f>
        <x:v>0</x:v>
      </x:c>
    </x:row>
    <x:row r="5">
      <x:c r="A5" s="38" t="n">
        <x:v>44651</x:v>
      </x:c>
      <x:c r="B5" t="n">
        <x:v>2022</x:v>
      </x:c>
      <x:c r="C5" t="str">
        <x:v>31.03.22</x:v>
      </x:c>
      <x:c r="D5" s="26" t="n">
        <x:f>'01_Rådata_bred'!$C$23</x:f>
        <x:v>11717</x:v>
      </x:c>
      <x:c r="E5" s="26" t="n">
        <x:f>D5-D4</x:f>
        <x:v>12</x:v>
      </x:c>
      <x:c r="F5" s="26" t="n">
        <x:f>D5-$D$4</x:f>
        <x:v>12</x:v>
      </x:c>
    </x:row>
    <x:row r="6">
      <x:c r="A6" s="38" t="n">
        <x:v>44742</x:v>
      </x:c>
      <x:c r="B6" t="n">
        <x:v>2022</x:v>
      </x:c>
      <x:c r="C6" t="str">
        <x:v>30.06.22</x:v>
      </x:c>
      <x:c r="D6" s="26" t="n">
        <x:f>'01_Rådata_bred'!$D$23</x:f>
        <x:v>11699</x:v>
      </x:c>
      <x:c r="E6" s="26" t="n">
        <x:f>D6-D5</x:f>
        <x:v>-18</x:v>
      </x:c>
      <x:c r="F6" s="26" t="n">
        <x:f>D6-$D$4</x:f>
        <x:v>-6</x:v>
      </x:c>
    </x:row>
    <x:row r="7">
      <x:c r="A7" s="38" t="n">
        <x:v>44834</x:v>
      </x:c>
      <x:c r="B7" t="n">
        <x:v>2022</x:v>
      </x:c>
      <x:c r="C7" t="str">
        <x:v>30.09.22</x:v>
      </x:c>
      <x:c r="D7" s="26" t="n">
        <x:f>'01_Rådata_bred'!$E$23</x:f>
        <x:v>11755</x:v>
      </x:c>
      <x:c r="E7" s="26" t="n">
        <x:f>D7-D6</x:f>
        <x:v>56</x:v>
      </x:c>
      <x:c r="F7" s="26" t="n">
        <x:f>D7-$D$4</x:f>
        <x:v>50</x:v>
      </x:c>
    </x:row>
    <x:row r="8">
      <x:c r="A8" s="38" t="n">
        <x:v>44926</x:v>
      </x:c>
      <x:c r="B8" t="n">
        <x:v>2022</x:v>
      </x:c>
      <x:c r="C8" t="str">
        <x:v>31.12.22</x:v>
      </x:c>
      <x:c r="D8" s="26" t="n">
        <x:f>'01_Rådata_bred'!$F$23</x:f>
        <x:v>11715</x:v>
      </x:c>
      <x:c r="E8" s="26" t="n">
        <x:f>D8-D7</x:f>
        <x:v>-40</x:v>
      </x:c>
      <x:c r="F8" s="26" t="n">
        <x:f>D8-$D$4</x:f>
        <x:v>10</x:v>
      </x:c>
    </x:row>
    <x:row r="9">
      <x:c r="A9" s="38" t="n">
        <x:v>44957</x:v>
      </x:c>
      <x:c r="B9" t="n">
        <x:v>2023</x:v>
      </x:c>
      <x:c r="C9" t="str">
        <x:v>31.01.23</x:v>
      </x:c>
      <x:c r="D9" s="26" t="n">
        <x:f>'01_Rådata_bred'!$G$23</x:f>
        <x:v>11698</x:v>
      </x:c>
      <x:c r="E9" s="26" t="n">
        <x:f>D9-D8</x:f>
        <x:v>-17</x:v>
      </x:c>
      <x:c r="F9" s="26" t="n">
        <x:f>D9-$D$4</x:f>
        <x:v>-7</x:v>
      </x:c>
    </x:row>
    <x:row r="10">
      <x:c r="A10" s="38" t="n">
        <x:v>45016</x:v>
      </x:c>
      <x:c r="B10" t="n">
        <x:v>2023</x:v>
      </x:c>
      <x:c r="C10" t="str">
        <x:v>31.03.23</x:v>
      </x:c>
      <x:c r="D10" s="26" t="n">
        <x:f>'01_Rådata_bred'!$H$23</x:f>
        <x:v>11696</x:v>
      </x:c>
      <x:c r="E10" s="26" t="n">
        <x:f>D10-D9</x:f>
        <x:v>-2</x:v>
      </x:c>
      <x:c r="F10" s="26" t="n">
        <x:f>D10-$D$4</x:f>
        <x:v>-9</x:v>
      </x:c>
    </x:row>
    <x:row r="11">
      <x:c r="A11" s="38" t="n">
        <x:v>45107</x:v>
      </x:c>
      <x:c r="B11" t="n">
        <x:v>2023</x:v>
      </x:c>
      <x:c r="C11" t="str">
        <x:v>30.06.23</x:v>
      </x:c>
      <x:c r="D11" s="26" t="n">
        <x:f>'01_Rådata_bred'!$I$23</x:f>
        <x:v>11707</x:v>
      </x:c>
      <x:c r="E11" s="26" t="n">
        <x:f>D11-D10</x:f>
        <x:v>11</x:v>
      </x:c>
      <x:c r="F11" s="26" t="n">
        <x:f>D11-$D$4</x:f>
        <x:v>2</x:v>
      </x:c>
    </x:row>
    <x:row r="12">
      <x:c r="A12" s="38" t="n">
        <x:v>45199</x:v>
      </x:c>
      <x:c r="B12" t="n">
        <x:v>2023</x:v>
      </x:c>
      <x:c r="C12" t="str">
        <x:v>30.09.23</x:v>
      </x:c>
      <x:c r="D12" s="26" t="n">
        <x:f>'01_Rådata_bred'!$J$23</x:f>
        <x:v>12045</x:v>
      </x:c>
      <x:c r="E12" s="26" t="n">
        <x:f>D12-D11</x:f>
        <x:v>338</x:v>
      </x:c>
      <x:c r="F12" s="26" t="n">
        <x:f>D12-$D$4</x:f>
        <x:v>340</x:v>
      </x:c>
    </x:row>
    <x:row r="13">
      <x:c r="A13" s="38" t="n">
        <x:v>45291</x:v>
      </x:c>
      <x:c r="B13" t="n">
        <x:v>2023</x:v>
      </x:c>
      <x:c r="C13" t="str">
        <x:v>31.12.23</x:v>
      </x:c>
      <x:c r="D13" s="26" t="n">
        <x:f>'01_Rådata_bred'!$K$23</x:f>
        <x:v>12051</x:v>
      </x:c>
      <x:c r="E13" s="26" t="n">
        <x:f>D13-D12</x:f>
        <x:v>6</x:v>
      </x:c>
      <x:c r="F13" s="26" t="n">
        <x:f>D13-$D$4</x:f>
        <x:v>346</x:v>
      </x:c>
    </x:row>
    <x:row r="14">
      <x:c r="A14" s="38" t="n">
        <x:v>45322</x:v>
      </x:c>
      <x:c r="B14" t="n">
        <x:v>2024</x:v>
      </x:c>
      <x:c r="C14" t="str">
        <x:v>31.01.24</x:v>
      </x:c>
      <x:c r="D14" s="26" t="n">
        <x:f>'01_Rådata_bred'!$L$23</x:f>
        <x:v>12043</x:v>
      </x:c>
      <x:c r="E14" s="26" t="n">
        <x:f>D14-D13</x:f>
        <x:v>-8</x:v>
      </x:c>
      <x:c r="F14" s="26" t="n">
        <x:f>D14-$D$4</x:f>
        <x:v>338</x:v>
      </x:c>
    </x:row>
    <x:row r="15">
      <x:c r="A15" s="38" t="n">
        <x:v>45382</x:v>
      </x:c>
      <x:c r="B15" t="n">
        <x:v>2024</x:v>
      </x:c>
      <x:c r="C15" t="str">
        <x:v>31.03.24</x:v>
      </x:c>
      <x:c r="D15" s="26" t="n">
        <x:f>'01_Rådata_bred'!$M$23</x:f>
        <x:v>12039</x:v>
      </x:c>
      <x:c r="E15" s="26" t="n">
        <x:f>D15-D14</x:f>
        <x:v>-4</x:v>
      </x:c>
      <x:c r="F15" s="26" t="n">
        <x:f>D15-$D$4</x:f>
        <x:v>334</x:v>
      </x:c>
    </x:row>
    <x:row r="16">
      <x:c r="A16" s="38" t="n">
        <x:v>45473</x:v>
      </x:c>
      <x:c r="B16" t="n">
        <x:v>2024</x:v>
      </x:c>
      <x:c r="C16" t="str">
        <x:v>30.06.24</x:v>
      </x:c>
      <x:c r="D16" s="26" t="n">
        <x:f>'01_Rådata_bred'!$N$23</x:f>
        <x:v>12065</x:v>
      </x:c>
      <x:c r="E16" s="26" t="n">
        <x:f>D16-D15</x:f>
        <x:v>26</x:v>
      </x:c>
      <x:c r="F16" s="26" t="n">
        <x:f>D16-$D$4</x:f>
        <x:v>360</x:v>
      </x:c>
    </x:row>
    <x:row r="17">
      <x:c r="A17" s="38" t="n">
        <x:v>45565</x:v>
      </x:c>
      <x:c r="B17" t="n">
        <x:v>2024</x:v>
      </x:c>
      <x:c r="C17" t="str">
        <x:v>30.09.24</x:v>
      </x:c>
      <x:c r="D17" s="26" t="n">
        <x:f>'01_Rådata_bred'!$O$23</x:f>
        <x:v>12505</x:v>
      </x:c>
      <x:c r="E17" s="26" t="n">
        <x:f>D17-D16</x:f>
        <x:v>440</x:v>
      </x:c>
      <x:c r="F17" s="26" t="n">
        <x:f>D17-$D$4</x:f>
        <x:v>800</x:v>
      </x:c>
    </x:row>
    <x:row r="18">
      <x:c r="A18" s="38" t="n">
        <x:v>45657</x:v>
      </x:c>
      <x:c r="B18" t="n">
        <x:v>2024</x:v>
      </x:c>
      <x:c r="C18" t="str">
        <x:v>31.12.24</x:v>
      </x:c>
      <x:c r="D18" s="26" t="n">
        <x:f>'01_Rådata_bred'!$P$23</x:f>
        <x:v>12634</x:v>
      </x:c>
      <x:c r="E18" s="26" t="n">
        <x:f>D18-D17</x:f>
        <x:v>129</x:v>
      </x:c>
      <x:c r="F18" s="26" t="n">
        <x:f>D18-$D$4</x:f>
        <x:v>929</x:v>
      </x:c>
    </x:row>
    <x:row r="19">
      <x:c r="A19" s="38" t="n">
        <x:v>45688</x:v>
      </x:c>
      <x:c r="B19" t="n">
        <x:v>2025</x:v>
      </x:c>
      <x:c r="C19" t="str">
        <x:v>31.01.25</x:v>
      </x:c>
      <x:c r="D19" s="26" t="n">
        <x:f>'01_Rådata_bred'!$Q$23</x:f>
        <x:v>12618</x:v>
      </x:c>
      <x:c r="E19" s="26" t="n">
        <x:f>D19-D18</x:f>
        <x:v>-16</x:v>
      </x:c>
      <x:c r="F19" s="26" t="n">
        <x:f>D19-$D$4</x:f>
        <x:v>913</x:v>
      </x:c>
    </x:row>
    <x:row r="20">
      <x:c r="A20" s="38" t="n">
        <x:v>45747</x:v>
      </x:c>
      <x:c r="B20" t="n">
        <x:v>2025</x:v>
      </x:c>
      <x:c r="C20" t="str">
        <x:v>31.03.25</x:v>
      </x:c>
      <x:c r="D20" s="26" t="n">
        <x:f>'01_Rådata_bred'!$R$23</x:f>
        <x:v>12678</x:v>
      </x:c>
      <x:c r="E20" s="26" t="n">
        <x:f>D20-D19</x:f>
        <x:v>60</x:v>
      </x:c>
      <x:c r="F20" s="26" t="n">
        <x:f>D20-$D$4</x:f>
        <x:v>973</x:v>
      </x:c>
    </x:row>
    <x:row r="21">
      <x:c r="A21" s="38" t="n">
        <x:v>45838</x:v>
      </x:c>
      <x:c r="B21" t="n">
        <x:v>2025</x:v>
      </x:c>
      <x:c r="C21" t="str">
        <x:v>30.06.25</x:v>
      </x:c>
      <x:c r="D21" s="26" t="n">
        <x:f>'01_Rådata_bred'!$S$23</x:f>
        <x:v>12706</x:v>
      </x:c>
      <x:c r="E21" s="26" t="n">
        <x:f>D21-D20</x:f>
        <x:v>28</x:v>
      </x:c>
      <x:c r="F21" s="26" t="n">
        <x:f>D21-$D$4</x:f>
        <x:v>1001</x:v>
      </x:c>
    </x:row>
    <x:row r="22">
      <x:c r="A22" s="38" t="n">
        <x:v>45930</x:v>
      </x:c>
      <x:c r="B22" t="n">
        <x:v>2025</x:v>
      </x:c>
      <x:c r="C22" t="str">
        <x:v>30.09.25</x:v>
      </x:c>
      <x:c r="D22" s="26" t="n">
        <x:f>'01_Rådata_bred'!$T$23</x:f>
        <x:v>13090</x:v>
      </x:c>
      <x:c r="E22" s="26" t="n">
        <x:f>D22-D21</x:f>
        <x:v>384</x:v>
      </x:c>
      <x:c r="F22" s="26" t="n">
        <x:f>D22-$D$4</x:f>
        <x:v>1385</x:v>
      </x:c>
    </x:row>
    <x:row r="23">
      <x:c r="A23" s="38" t="n">
        <x:v>46022</x:v>
      </x:c>
      <x:c r="B23" t="n">
        <x:v>2025</x:v>
      </x:c>
      <x:c r="C23" t="str">
        <x:v>31.12.25</x:v>
      </x:c>
      <x:c r="D23" s="26" t="n">
        <x:f>'01_Rådata_bred'!$U$23</x:f>
        <x:v>13248</x:v>
      </x:c>
      <x:c r="E23" s="26" t="n">
        <x:f>D23-D22</x:f>
        <x:v>158</x:v>
      </x:c>
      <x:c r="F23" s="26" t="n">
        <x:f>D23-$D$4</x:f>
        <x:v>1543</x:v>
      </x:c>
    </x:row>
    <x:row r="24">
      <x:c r="A24" s="38" t="n">
        <x:v>46053</x:v>
      </x:c>
      <x:c r="B24" t="n">
        <x:v>2026</x:v>
      </x:c>
      <x:c r="C24" t="str">
        <x:v>31.01.26</x:v>
      </x:c>
      <x:c r="D24" s="26" t="n">
        <x:f>'01_Rådata_bred'!$V$23</x:f>
        <x:v>13205</x:v>
      </x:c>
      <x:c r="E24" s="26" t="n">
        <x:f>D24-D23</x:f>
        <x:v>-43</x:v>
      </x:c>
      <x:c r="F24" s="26" t="n">
        <x:f>D24-$D$4</x:f>
        <x:v>1500</x:v>
      </x:c>
    </x:row>
    <x:row r="25">
      <x:c r="A25" s="38" t="n">
        <x:v>46112</x:v>
      </x:c>
      <x:c r="B25" t="n">
        <x:v>2026</x:v>
      </x:c>
      <x:c r="C25" t="str">
        <x:v>31.03.26</x:v>
      </x:c>
      <x:c r="D25" s="26" t="n">
        <x:f>'01_Rådata_bred'!$W$23</x:f>
        <x:v>13212</x:v>
      </x:c>
      <x:c r="E25" s="26" t="n">
        <x:f>D25-D24</x:f>
        <x:v>7</x:v>
      </x:c>
      <x:c r="F25" s="26" t="n">
        <x:f>D25-$D$4</x:f>
        <x:v>1507</x:v>
      </x:c>
    </x:row>
    <x:row r="26">
      <x:c r="A26" s="38" t="n">
        <x:v>46173</x:v>
      </x:c>
      <x:c r="B26" t="n">
        <x:v>2026</x:v>
      </x:c>
      <x:c r="C26" t="str">
        <x:v>31.05.26</x:v>
      </x:c>
      <x:c r="D26" s="26" t="n">
        <x:f>'01_Rådata_bred'!$X$23</x:f>
        <x:v>13233</x:v>
      </x:c>
      <x:c r="E26" s="26" t="n">
        <x:f>D26-D25</x:f>
        <x:v>21</x:v>
      </x:c>
      <x:c r="F26" s="26" t="n">
        <x:f>D26-$D$4</x:f>
        <x:v>1528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64ab1e54bf4446c2"/>
  <x:tableParts count="1">
    <x:tablePart xmlns:r="http://schemas.openxmlformats.org/officeDocument/2006/relationships" r:id="R5c0b5cdd69224d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6.5" hidden="0" customWidth="1"/>
    <x:col min="2" max="2" width="5.630000114440918" hidden="0" customWidth="1"/>
    <x:col min="3" max="3" width="5.630000114440918" hidden="0" customWidth="1"/>
    <x:col min="4" max="4" width="5.630000114440918" hidden="0" customWidth="1"/>
    <x:col min="5" max="5" width="5.630000114440918" hidden="0" customWidth="1"/>
    <x:col min="6" max="6" width="5.630000114440918" hidden="0" customWidth="1"/>
    <x:col min="7" max="7" width="35" hidden="0" customWidth="1"/>
  </x:cols>
  <x:sheetData>
    <x:row r="1" ht="24" customHeight="1">
      <x:c r="A1" s="5" t="str">
        <x:v>Medlemsudvikling gennem året - samme nedslagspunkter</x:v>
      </x:c>
    </x:row>
    <x:row r="3">
      <x:c r="A3" s="14" t="str">
        <x:v>Nedslagspunkt</x:v>
      </x:c>
      <x:c r="B3" s="14" t="str">
        <x:v>2022</x:v>
      </x:c>
      <x:c r="C3" s="14" t="str">
        <x:v>2023</x:v>
      </x:c>
      <x:c r="D3" s="14" t="str">
        <x:v>2024</x:v>
      </x:c>
      <x:c r="E3" s="14" t="str">
        <x:v>2025</x:v>
      </x:c>
      <x:c r="F3" s="14" t="str">
        <x:v>2026</x:v>
      </x:c>
      <x:c r="G3" s="14" t="str">
        <x:v>Note</x:v>
      </x:c>
    </x:row>
    <x:row r="4">
      <x:c r="A4" t="str">
        <x:v>31.01</x:v>
      </x:c>
      <x:c r="B4" s="26" t="n">
        <x:v>11705</x:v>
      </x:c>
      <x:c r="C4" s="26" t="n">
        <x:v>11698</x:v>
      </x:c>
      <x:c r="D4" s="26" t="n">
        <x:v>12043</x:v>
      </x:c>
      <x:c r="E4" s="26" t="n">
        <x:v>12618</x:v>
      </x:c>
      <x:c r="F4" s="26" t="n">
        <x:v>13205</x:v>
      </x:c>
      <x:c r="G4" t="str"/>
    </x:row>
    <x:row r="5">
      <x:c r="A5" t="str">
        <x:v>31.03</x:v>
      </x:c>
      <x:c r="B5" s="26" t="n">
        <x:v>11717</x:v>
      </x:c>
      <x:c r="C5" s="26" t="n">
        <x:v>11696</x:v>
      </x:c>
      <x:c r="D5" s="26" t="n">
        <x:v>12039</x:v>
      </x:c>
      <x:c r="E5" s="26" t="n">
        <x:v>12678</x:v>
      </x:c>
      <x:c r="F5" s="26" t="n">
        <x:v>13212</x:v>
      </x:c>
      <x:c r="G5" t="str"/>
    </x:row>
    <x:row r="6">
      <x:c r="A6" t="str">
        <x:v>30.06 / 31.05*</x:v>
      </x:c>
      <x:c r="B6" s="26" t="n">
        <x:v>11699</x:v>
      </x:c>
      <x:c r="C6" s="26" t="n">
        <x:v>11707</x:v>
      </x:c>
      <x:c r="D6" s="26" t="n">
        <x:v>12065</x:v>
      </x:c>
      <x:c r="E6" s="26" t="n">
        <x:v>12706</x:v>
      </x:c>
      <x:c r="F6" s="26" t="n">
        <x:v>13233</x:v>
      </x:c>
      <x:c r="G6" t="str">
        <x:v>*2026 bruger 31.05 i tredje punkt</x:v>
      </x:c>
    </x:row>
    <x:row r="7">
      <x:c r="A7" t="str">
        <x:v>30.09</x:v>
      </x:c>
      <x:c r="B7" s="26" t="n">
        <x:v>11755</x:v>
      </x:c>
      <x:c r="C7" s="26" t="n">
        <x:v>12045</x:v>
      </x:c>
      <x:c r="D7" s="26" t="n">
        <x:v>12505</x:v>
      </x:c>
      <x:c r="E7" s="26" t="n">
        <x:v>13090</x:v>
      </x:c>
      <x:c r="F7" s="26"/>
      <x:c r="G7" t="str"/>
    </x:row>
    <x:row r="8">
      <x:c r="A8" t="str">
        <x:v>31.12</x:v>
      </x:c>
      <x:c r="B8" s="26" t="n">
        <x:v>11715</x:v>
      </x:c>
      <x:c r="C8" s="26" t="n">
        <x:v>12051</x:v>
      </x:c>
      <x:c r="D8" s="26" t="n">
        <x:v>12634</x:v>
      </x:c>
      <x:c r="E8" s="26" t="n">
        <x:v>13248</x:v>
      </x:c>
      <x:c r="F8" s="26"/>
      <x:c r="G8" t="str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8b3caaa357234a42"/>
  <x:tableParts count="1">
    <x:tablePart xmlns:r="http://schemas.openxmlformats.org/officeDocument/2006/relationships" r:id="R1b1b8cf703dd45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.130000114440918" hidden="0" customWidth="1"/>
    <x:col min="3" max="3" width="7.130000114440918" hidden="0" customWidth="1"/>
    <x:col min="4" max="4" width="7.130000114440918" hidden="0" customWidth="1"/>
    <x:col min="5" max="5" width="21" hidden="0" customWidth="1"/>
    <x:col min="6" max="6" width="21" hidden="0" customWidth="1"/>
    <x:col min="7" max="7" width="19.1299991607666" hidden="0" customWidth="1"/>
    <x:col min="8" max="8" width="45" hidden="0" customWidth="1"/>
    <x:col min="10" max="10" width="34" hidden="0" customWidth="1"/>
    <x:col min="11" max="11" width="12" hidden="0" customWidth="1"/>
  </x:cols>
  <x:sheetData>
    <x:row r="1" ht="24" customHeight="1">
      <x:c r="A1" s="5" t="str">
        <x:v>Kategoriændringer - talmateriale bag grafen</x:v>
      </x:c>
    </x:row>
    <x:row r="3">
      <x:c r="A3" s="14" t="str">
        <x:v>Medlemstype</x:v>
      </x:c>
      <x:c r="B3" s="14" t="str">
        <x:v>31.12.24</x:v>
      </x:c>
      <x:c r="C3" s="14" t="str">
        <x:v>31.12.25</x:v>
      </x:c>
      <x:c r="D3" s="14" t="str">
        <x:v>31.05.26</x:v>
      </x:c>
      <x:c r="E3" s="14" t="str">
        <x:v>Ændring 31.12.24-31.05.26</x:v>
      </x:c>
      <x:c r="F3" s="14" t="str">
        <x:v>Ændring 31.12.25-31.05.26</x:v>
      </x:c>
      <x:c r="G3" s="14" t="str">
        <x:v>Andel af samlet ændring</x:v>
      </x:c>
      <x:c r="H3" s="14" t="str">
        <x:v>Kommentar</x:v>
      </x:c>
    </x:row>
    <x:row r="4">
      <x:c r="A4" t="str">
        <x:v>Normaltansat over 19 timer</x:v>
      </x:c>
      <x:c r="B4" s="26" t="n">
        <x:f>'01_Rådata_bred'!$P$2</x:f>
        <x:v>5584</x:v>
      </x:c>
      <x:c r="C4" s="26" t="n">
        <x:f>'01_Rådata_bred'!$U$2</x:f>
        <x:v>5826</x:v>
      </x:c>
      <x:c r="D4" s="26" t="n">
        <x:f>'01_Rådata_bred'!$X$2</x:f>
        <x:v>5896</x:v>
      </x:c>
      <x:c r="E4" s="26" t="n">
        <x:f>D4-B4</x:f>
        <x:v>312</x:v>
      </x:c>
      <x:c r="F4" s="26" t="n">
        <x:f>D4-C4</x:f>
        <x:v>70</x:v>
      </x:c>
      <x:c r="G4" s="40" t="n">
        <x:f>IFERROR(E4/SUM($E$4:$E$24),0)</x:f>
        <x:v>0.5208681135225376</x:v>
      </x:c>
      <x:c r="H4" t="str"/>
    </x:row>
    <x:row r="5">
      <x:c r="A5" t="str">
        <x:v>Psykologistuderende</x:v>
      </x:c>
      <x:c r="B5" s="26" t="n">
        <x:f>'01_Rådata_bred'!$P$3</x:f>
        <x:v>1</x:v>
      </x:c>
      <x:c r="C5" s="26" t="n">
        <x:f>'01_Rådata_bred'!$U$3</x:f>
        <x:v>1</x:v>
      </x:c>
      <x:c r="D5" s="26" t="n">
        <x:f>'01_Rådata_bred'!$X$3</x:f>
        <x:v>0</x:v>
      </x:c>
      <x:c r="E5" s="26" t="n">
        <x:f>D5-B5</x:f>
        <x:v>-1</x:v>
      </x:c>
      <x:c r="F5" s="26" t="n">
        <x:f>D5-C5</x:f>
        <x:v>-1</x:v>
      </x:c>
      <x:c r="G5" s="40" t="n">
        <x:f>IFERROR(E5/SUM($E$4:$E$24),0)</x:f>
        <x:v>-0.001669449081803005</x:v>
      </x:c>
      <x:c r="H5" t="str"/>
    </x:row>
    <x:row r="6">
      <x:c r="A6" t="str">
        <x:v>Pensionist DP - Udland</x:v>
      </x:c>
      <x:c r="B6" s="26" t="n">
        <x:f>'01_Rådata_bred'!$P$4</x:f>
        <x:v>15</x:v>
      </x:c>
      <x:c r="C6" s="26" t="n">
        <x:f>'01_Rådata_bred'!$U$4</x:f>
        <x:v>19</x:v>
      </x:c>
      <x:c r="D6" s="26" t="n">
        <x:f>'01_Rådata_bred'!$X$4</x:f>
        <x:v>18</x:v>
      </x:c>
      <x:c r="E6" s="26" t="n">
        <x:f>D6-B6</x:f>
        <x:v>3</x:v>
      </x:c>
      <x:c r="F6" s="26" t="n">
        <x:f>D6-C6</x:f>
        <x:v>-1</x:v>
      </x:c>
      <x:c r="G6" s="40" t="n">
        <x:f>IFERROR(E6/SUM($E$4:$E$24),0)</x:f>
        <x:v>0.005008347245409015</x:v>
      </x:c>
      <x:c r="H6" t="str">
        <x:v>Pensionistkategorier bør læses samlet pga. databrud i 2022.</x:v>
      </x:c>
    </x:row>
    <x:row r="7">
      <x:c r="A7" t="str">
        <x:v>Ledig DP</x:v>
      </x:c>
      <x:c r="B7" s="26" t="n">
        <x:f>'01_Rådata_bred'!$P$5</x:f>
        <x:v>441</x:v>
      </x:c>
      <x:c r="C7" s="26" t="n">
        <x:f>'01_Rådata_bred'!$U$5</x:f>
        <x:v>394</x:v>
      </x:c>
      <x:c r="D7" s="26" t="n">
        <x:f>'01_Rådata_bred'!$X$5</x:f>
        <x:v>367</x:v>
      </x:c>
      <x:c r="E7" s="26" t="n">
        <x:f>D7-B7</x:f>
        <x:v>-74</x:v>
      </x:c>
      <x:c r="F7" s="26" t="n">
        <x:f>D7-C7</x:f>
        <x:v>-27</x:v>
      </x:c>
      <x:c r="G7" s="40" t="n">
        <x:f>IFERROR(E7/SUM($E$4:$E$24),0)</x:f>
        <x:v>-0.12353923205342238</x:v>
      </x:c>
      <x:c r="H7" t="str"/>
    </x:row>
    <x:row r="8">
      <x:c r="A8" t="str">
        <x:v>1 og 2 års Kandidater</x:v>
      </x:c>
      <x:c r="B8" s="26" t="n">
        <x:f>'01_Rådata_bred'!$P$6</x:f>
        <x:v>628</x:v>
      </x:c>
      <x:c r="C8" s="26" t="n">
        <x:f>'01_Rådata_bred'!$U$6</x:f>
        <x:v>884</x:v>
      </x:c>
      <x:c r="D8" s="26" t="n">
        <x:f>'01_Rådata_bred'!$X$6</x:f>
        <x:v>898</x:v>
      </x:c>
      <x:c r="E8" s="26" t="n">
        <x:f>D8-B8</x:f>
        <x:v>270</x:v>
      </x:c>
      <x:c r="F8" s="26" t="n">
        <x:f>D8-C8</x:f>
        <x:v>14</x:v>
      </x:c>
      <x:c r="G8" s="40" t="n">
        <x:f>IFERROR(E8/SUM($E$4:$E$24),0)</x:f>
        <x:v>0.4507512520868113</x:v>
      </x:c>
      <x:c r="H8" t="str"/>
    </x:row>
    <x:row r="9">
      <x:c r="A9" t="str">
        <x:v>Selvstændig</x:v>
      </x:c>
      <x:c r="B9" s="26" t="n">
        <x:f>'01_Rådata_bred'!$P$7</x:f>
        <x:v>2398</x:v>
      </x:c>
      <x:c r="C9" s="26" t="n">
        <x:f>'01_Rådata_bred'!$U$7</x:f>
        <x:v>2481</x:v>
      </x:c>
      <x:c r="D9" s="26" t="n">
        <x:f>'01_Rådata_bred'!$X$7</x:f>
        <x:v>2551</x:v>
      </x:c>
      <x:c r="E9" s="26" t="n">
        <x:f>D9-B9</x:f>
        <x:v>153</x:v>
      </x:c>
      <x:c r="F9" s="26" t="n">
        <x:f>D9-C9</x:f>
        <x:v>70</x:v>
      </x:c>
      <x:c r="G9" s="40" t="n">
        <x:f>IFERROR(E9/SUM($E$4:$E$24),0)</x:f>
        <x:v>0.25542570951585974</x:v>
      </x:c>
      <x:c r="H9" t="str"/>
    </x:row>
    <x:row r="10">
      <x:c r="A10" t="str">
        <x:v>Studerende DP</x:v>
      </x:c>
      <x:c r="B10" s="26" t="n">
        <x:f>'01_Rådata_bred'!$P$8</x:f>
        <x:v>1938</x:v>
      </x:c>
      <x:c r="C10" s="26" t="n">
        <x:f>'01_Rådata_bred'!$U$8</x:f>
        <x:v>1995</x:v>
      </x:c>
      <x:c r="D10" s="26" t="n">
        <x:f>'01_Rådata_bred'!$X$8</x:f>
        <x:v>1887</x:v>
      </x:c>
      <x:c r="E10" s="26" t="n">
        <x:f>D10-B10</x:f>
        <x:v>-51</x:v>
      </x:c>
      <x:c r="F10" s="26" t="n">
        <x:f>D10-C10</x:f>
        <x:v>-108</x:v>
      </x:c>
      <x:c r="G10" s="40" t="n">
        <x:f>IFERROR(E10/SUM($E$4:$E$24),0)</x:f>
        <x:v>-0.08514190317195326</x:v>
      </x:c>
      <x:c r="H10" t="str"/>
    </x:row>
    <x:row r="11">
      <x:c r="A11" t="str">
        <x:v>Ph.d. studerende</x:v>
      </x:c>
      <x:c r="B11" s="26" t="n">
        <x:f>'01_Rådata_bred'!$P$9</x:f>
        <x:v>48</x:v>
      </x:c>
      <x:c r="C11" s="26" t="n">
        <x:f>'01_Rådata_bred'!$U$9</x:f>
        <x:v>50</x:v>
      </x:c>
      <x:c r="D11" s="26" t="n">
        <x:f>'01_Rådata_bred'!$X$9</x:f>
        <x:v>47</x:v>
      </x:c>
      <x:c r="E11" s="26" t="n">
        <x:f>D11-B11</x:f>
        <x:v>-1</x:v>
      </x:c>
      <x:c r="F11" s="26" t="n">
        <x:f>D11-C11</x:f>
        <x:v>-3</x:v>
      </x:c>
      <x:c r="G11" s="40" t="n">
        <x:f>IFERROR(E11/SUM($E$4:$E$24),0)</x:f>
        <x:v>-0.001669449081803005</x:v>
      </x:c>
      <x:c r="H11" t="str"/>
    </x:row>
    <x:row r="12">
      <x:c r="A12" t="str">
        <x:v>Orlov uden løn DP</x:v>
      </x:c>
      <x:c r="B12" s="26" t="n">
        <x:f>'01_Rådata_bred'!$P$10</x:f>
        <x:v>40</x:v>
      </x:c>
      <x:c r="C12" s="26" t="n">
        <x:f>'01_Rådata_bred'!$U$10</x:f>
        <x:v>58</x:v>
      </x:c>
      <x:c r="D12" s="26" t="n">
        <x:f>'01_Rådata_bred'!$X$10</x:f>
        <x:v>66</x:v>
      </x:c>
      <x:c r="E12" s="26" t="n">
        <x:f>D12-B12</x:f>
        <x:v>26</x:v>
      </x:c>
      <x:c r="F12" s="26" t="n">
        <x:f>D12-C12</x:f>
        <x:v>8</x:v>
      </x:c>
      <x:c r="G12" s="40" t="n">
        <x:f>IFERROR(E12/SUM($E$4:$E$24),0)</x:f>
        <x:v>0.04340567612687813</x:v>
      </x:c>
      <x:c r="H12" t="str"/>
    </x:row>
    <x:row r="13">
      <x:c r="A13" t="str">
        <x:v>Udland DP</x:v>
      </x:c>
      <x:c r="B13" s="26" t="n">
        <x:f>'01_Rådata_bred'!$P$11</x:f>
        <x:v>64</x:v>
      </x:c>
      <x:c r="C13" s="26" t="n">
        <x:f>'01_Rådata_bred'!$U$11</x:f>
        <x:v>53</x:v>
      </x:c>
      <x:c r="D13" s="26" t="n">
        <x:f>'01_Rådata_bred'!$X$11</x:f>
        <x:v>49</x:v>
      </x:c>
      <x:c r="E13" s="26" t="n">
        <x:f>D13-B13</x:f>
        <x:v>-15</x:v>
      </x:c>
      <x:c r="F13" s="26" t="n">
        <x:f>D13-C13</x:f>
        <x:v>-4</x:v>
      </x:c>
      <x:c r="G13" s="40" t="n">
        <x:f>IFERROR(E13/SUM($E$4:$E$24),0)</x:f>
        <x:v>-0.025041736227045076</x:v>
      </x:c>
      <x:c r="H13" t="str"/>
    </x:row>
    <x:row r="14">
      <x:c r="A14" t="str">
        <x:v>Anden forhandlingsret</x:v>
      </x:c>
      <x:c r="B14" s="26" t="n">
        <x:f>'01_Rådata_bred'!$P$12</x:f>
        <x:v>23</x:v>
      </x:c>
      <x:c r="C14" s="26" t="n">
        <x:f>'01_Rådata_bred'!$U$12</x:f>
        <x:v>28</x:v>
      </x:c>
      <x:c r="D14" s="26" t="n">
        <x:f>'01_Rådata_bred'!$X$12</x:f>
        <x:v>27</x:v>
      </x:c>
      <x:c r="E14" s="26" t="n">
        <x:f>D14-B14</x:f>
        <x:v>4</x:v>
      </x:c>
      <x:c r="F14" s="26" t="n">
        <x:f>D14-C14</x:f>
        <x:v>-1</x:v>
      </x:c>
      <x:c r="G14" s="40" t="n">
        <x:f>IFERROR(E14/SUM($E$4:$E$24),0)</x:f>
        <x:v>0.00667779632721202</x:v>
      </x:c>
      <x:c r="H14" t="str"/>
    </x:row>
    <x:row r="15">
      <x:c r="A15" t="str">
        <x:v>Efterløn DP</x:v>
      </x:c>
      <x:c r="B15" s="26" t="n">
        <x:f>'01_Rådata_bred'!$P$13</x:f>
        <x:v>17</x:v>
      </x:c>
      <x:c r="C15" s="26" t="n">
        <x:f>'01_Rådata_bred'!$U$13</x:f>
        <x:v>15</x:v>
      </x:c>
      <x:c r="D15" s="26" t="n">
        <x:f>'01_Rådata_bred'!$X$13</x:f>
        <x:v>15</x:v>
      </x:c>
      <x:c r="E15" s="26" t="n">
        <x:f>D15-B15</x:f>
        <x:v>-2</x:v>
      </x:c>
      <x:c r="F15" s="26" t="n">
        <x:f>D15-C15</x:f>
        <x:v>0</x:v>
      </x:c>
      <x:c r="G15" s="40" t="n">
        <x:f>IFERROR(E15/SUM($E$4:$E$24),0)</x:f>
        <x:v>-0.00333889816360601</x:v>
      </x:c>
      <x:c r="H15" t="str"/>
    </x:row>
    <x:row r="16">
      <x:c r="A16" t="str">
        <x:v>DLF og DLF ret</x:v>
      </x:c>
      <x:c r="B16" s="26" t="n">
        <x:f>'01_Rådata_bred'!$P$14</x:f>
        <x:v>122</x:v>
      </x:c>
      <x:c r="C16" s="26" t="n">
        <x:f>'01_Rådata_bred'!$U$14</x:f>
        <x:v>101</x:v>
      </x:c>
      <x:c r="D16" s="26" t="n">
        <x:f>'01_Rådata_bred'!$X$14</x:f>
        <x:v>96</x:v>
      </x:c>
      <x:c r="E16" s="26" t="n">
        <x:f>D16-B16</x:f>
        <x:v>-26</x:v>
      </x:c>
      <x:c r="F16" s="26" t="n">
        <x:f>D16-C16</x:f>
        <x:v>-5</x:v>
      </x:c>
      <x:c r="G16" s="40" t="n">
        <x:f>IFERROR(E16/SUM($E$4:$E$24),0)</x:f>
        <x:v>-0.04340567612687813</x:v>
      </x:c>
      <x:c r="H16" t="str"/>
    </x:row>
    <x:row r="17">
      <x:c r="A17" t="str">
        <x:v>Ledig ikke ret til dagpenge</x:v>
      </x:c>
      <x:c r="B17" s="26" t="n">
        <x:f>'01_Rådata_bred'!$P$15</x:f>
        <x:v>50</x:v>
      </x:c>
      <x:c r="C17" s="26" t="n">
        <x:f>'01_Rådata_bred'!$U$15</x:f>
        <x:v>60</x:v>
      </x:c>
      <x:c r="D17" s="26" t="n">
        <x:f>'01_Rådata_bred'!$X$15</x:f>
        <x:v>54</x:v>
      </x:c>
      <x:c r="E17" s="26" t="n">
        <x:f>D17-B17</x:f>
        <x:v>4</x:v>
      </x:c>
      <x:c r="F17" s="26" t="n">
        <x:f>D17-C17</x:f>
        <x:v>-6</x:v>
      </x:c>
      <x:c r="G17" s="40" t="n">
        <x:f>IFERROR(E17/SUM($E$4:$E$24),0)</x:f>
        <x:v>0.00667779632721202</x:v>
      </x:c>
      <x:c r="H17" t="str"/>
    </x:row>
    <x:row r="18">
      <x:c r="A18" t="str">
        <x:v>Normaltansat under 20 timer</x:v>
      </x:c>
      <x:c r="B18" s="26" t="n">
        <x:f>'01_Rådata_bred'!$P$16</x:f>
        <x:v>111</x:v>
      </x:c>
      <x:c r="C18" s="26" t="n">
        <x:f>'01_Rådata_bred'!$U$16</x:f>
        <x:v>107</x:v>
      </x:c>
      <x:c r="D18" s="26" t="n">
        <x:f>'01_Rådata_bred'!$X$16</x:f>
        <x:v>110</x:v>
      </x:c>
      <x:c r="E18" s="26" t="n">
        <x:f>D18-B18</x:f>
        <x:v>-1</x:v>
      </x:c>
      <x:c r="F18" s="26" t="n">
        <x:f>D18-C18</x:f>
        <x:v>3</x:v>
      </x:c>
      <x:c r="G18" s="40" t="n">
        <x:f>IFERROR(E18/SUM($E$4:$E$24),0)</x:f>
        <x:v>-0.001669449081803005</x:v>
      </x:c>
      <x:c r="H18" t="str"/>
    </x:row>
    <x:row r="19">
      <x:c r="A19" t="str">
        <x:v>DLF og DP ret</x:v>
      </x:c>
      <x:c r="B19" s="26" t="n">
        <x:f>'01_Rådata_bred'!$P$17</x:f>
        <x:v>42</x:v>
      </x:c>
      <x:c r="C19" s="26" t="n">
        <x:f>'01_Rådata_bred'!$U$17</x:f>
        <x:v>32</x:v>
      </x:c>
      <x:c r="D19" s="26" t="n">
        <x:f>'01_Rådata_bred'!$X$17</x:f>
        <x:v>31</x:v>
      </x:c>
      <x:c r="E19" s="26" t="n">
        <x:f>D19-B19</x:f>
        <x:v>-11</x:v>
      </x:c>
      <x:c r="F19" s="26" t="n">
        <x:f>D19-C19</x:f>
        <x:v>-1</x:v>
      </x:c>
      <x:c r="G19" s="40" t="n">
        <x:f>IFERROR(E19/SUM($E$4:$E$24),0)</x:f>
        <x:v>-0.018363939899833055</x:v>
      </x:c>
      <x:c r="H19" t="str"/>
    </x:row>
    <x:row r="20">
      <x:c r="A20" t="str">
        <x:v>Med løntilskud</x:v>
      </x:c>
      <x:c r="B20" s="26" t="n">
        <x:f>'01_Rådata_bred'!$P$18</x:f>
        <x:v>20</x:v>
      </x:c>
      <x:c r="C20" s="26" t="n">
        <x:f>'01_Rådata_bred'!$U$18</x:f>
        <x:v>20</x:v>
      </x:c>
      <x:c r="D20" s="26" t="n">
        <x:f>'01_Rådata_bred'!$X$18</x:f>
        <x:v>21</x:v>
      </x:c>
      <x:c r="E20" s="26" t="n">
        <x:f>D20-B20</x:f>
        <x:v>1</x:v>
      </x:c>
      <x:c r="F20" s="26" t="n">
        <x:f>D20-C20</x:f>
        <x:v>1</x:v>
      </x:c>
      <x:c r="G20" s="40" t="n">
        <x:f>IFERROR(E20/SUM($E$4:$E$24),0)</x:f>
        <x:v>0.001669449081803005</x:v>
      </x:c>
      <x:c r="H20" t="str"/>
    </x:row>
    <x:row r="21">
      <x:c r="A21" t="str">
        <x:v>Pensionist DP</x:v>
      </x:c>
      <x:c r="B21" s="26" t="n">
        <x:f>'01_Rådata_bred'!$P$19</x:f>
        <x:v>1078</x:v>
      </x:c>
      <x:c r="C21" s="26" t="n">
        <x:f>'01_Rådata_bred'!$U$19</x:f>
        <x:v>1109</x:v>
      </x:c>
      <x:c r="D21" s="26" t="n">
        <x:f>'01_Rådata_bred'!$X$19</x:f>
        <x:v>1086</x:v>
      </x:c>
      <x:c r="E21" s="26" t="n">
        <x:f>D21-B21</x:f>
        <x:v>8</x:v>
      </x:c>
      <x:c r="F21" s="26" t="n">
        <x:f>D21-C21</x:f>
        <x:v>-23</x:v>
      </x:c>
      <x:c r="G21" s="40" t="n">
        <x:f>IFERROR(E21/SUM($E$4:$E$24),0)</x:f>
        <x:v>0.01335559265442404</x:v>
      </x:c>
      <x:c r="H21" t="str">
        <x:v>Pensionistkategorier bør læses samlet pga. databrud i 2022.</x:v>
      </x:c>
    </x:row>
    <x:row r="22">
      <x:c r="A22" t="str">
        <x:v>DM1 Mag. art.</x:v>
      </x:c>
      <x:c r="B22" s="26" t="n">
        <x:f>'01_Rådata_bred'!$P$20</x:f>
        <x:v>6</x:v>
      </x:c>
      <x:c r="C22" s="26" t="n">
        <x:f>'01_Rådata_bred'!$U$20</x:f>
        <x:v>5</x:v>
      </x:c>
      <x:c r="D22" s="26" t="n">
        <x:f>'01_Rådata_bred'!$X$20</x:f>
        <x:v>4</x:v>
      </x:c>
      <x:c r="E22" s="26" t="n">
        <x:f>D22-B22</x:f>
        <x:v>-2</x:v>
      </x:c>
      <x:c r="F22" s="26" t="n">
        <x:f>D22-C22</x:f>
        <x:v>-1</x:v>
      </x:c>
      <x:c r="G22" s="40" t="n">
        <x:f>IFERROR(E22/SUM($E$4:$E$24),0)</x:f>
        <x:v>-0.00333889816360601</x:v>
      </x:c>
      <x:c r="H22" t="str"/>
    </x:row>
    <x:row r="23">
      <x:c r="A23" t="str">
        <x:v>Æresmedlem</x:v>
      </x:c>
      <x:c r="B23" s="26" t="n">
        <x:f>'01_Rådata_bred'!$P$21</x:f>
        <x:v>8</x:v>
      </x:c>
      <x:c r="C23" s="26" t="n">
        <x:f>'01_Rådata_bred'!$U$21</x:f>
        <x:v>10</x:v>
      </x:c>
      <x:c r="D23" s="26" t="n">
        <x:f>'01_Rådata_bred'!$X$21</x:f>
        <x:v>10</x:v>
      </x:c>
      <x:c r="E23" s="26" t="n">
        <x:f>D23-B23</x:f>
        <x:v>2</x:v>
      </x:c>
      <x:c r="F23" s="26" t="n">
        <x:f>D23-C23</x:f>
        <x:v>0</x:v>
      </x:c>
      <x:c r="G23" s="40" t="n">
        <x:f>IFERROR(E23/SUM($E$4:$E$24),0)</x:f>
        <x:v>0.00333889816360601</x:v>
      </x:c>
      <x:c r="H23" t="str"/>
    </x:row>
    <x:row r="24">
      <x:c r="A24" t="str">
        <x:v>DP medlem</x:v>
      </x:c>
      <x:c r="B24" s="26" t="n">
        <x:f>'01_Rådata_bred'!$P$22</x:f>
        <x:v>0</x:v>
      </x:c>
      <x:c r="C24" s="26" t="n">
        <x:f>'01_Rådata_bred'!$U$22</x:f>
        <x:v>0</x:v>
      </x:c>
      <x:c r="D24" s="26" t="n">
        <x:f>'01_Rådata_bred'!$X$22</x:f>
        <x:v>0</x:v>
      </x:c>
      <x:c r="E24" s="26" t="n">
        <x:f>D24-B24</x:f>
        <x:v>0</x:v>
      </x:c>
      <x:c r="F24" s="26" t="n">
        <x:f>D24-C24</x:f>
        <x:v>0</x:v>
      </x:c>
      <x:c r="G24" s="40" t="n">
        <x:f>IFERROR(E24/SUM($E$4:$E$24),0)</x:f>
        <x:v>0</x:v>
      </x:c>
      <x:c r="H24" t="str"/>
    </x:row>
    <x:row r="28">
      <x:c r="J28" s="14" t="str">
        <x:v>Top 12 kategoriændringer</x:v>
      </x:c>
      <x:c r="K28" s="14" t="str">
        <x:v>Ændring</x:v>
      </x:c>
    </x:row>
    <x:row r="29">
      <x:c r="J29" t="str">
        <x:v>Ledig DP</x:v>
      </x:c>
      <x:c r="K29" s="26" t="n">
        <x:v>-74</x:v>
      </x:c>
    </x:row>
    <x:row r="30">
      <x:c r="J30" t="str">
        <x:v>Studerende DP</x:v>
      </x:c>
      <x:c r="K30" s="26" t="n">
        <x:v>-51</x:v>
      </x:c>
    </x:row>
    <x:row r="31">
      <x:c r="J31" t="str">
        <x:v>DLF og DLF ret</x:v>
      </x:c>
      <x:c r="K31" s="26" t="n">
        <x:v>-26</x:v>
      </x:c>
    </x:row>
    <x:row r="32">
      <x:c r="J32" t="str">
        <x:v>Udland DP</x:v>
      </x:c>
      <x:c r="K32" s="26" t="n">
        <x:v>-15</x:v>
      </x:c>
    </x:row>
    <x:row r="33">
      <x:c r="J33" t="str">
        <x:v>DLF og DP ret</x:v>
      </x:c>
      <x:c r="K33" s="26" t="n">
        <x:v>-11</x:v>
      </x:c>
    </x:row>
    <x:row r="34">
      <x:c r="J34" t="str">
        <x:v>Anden forhandlingsret</x:v>
      </x:c>
      <x:c r="K34" s="26" t="n">
        <x:v>4</x:v>
      </x:c>
    </x:row>
    <x:row r="35">
      <x:c r="J35" t="str">
        <x:v>Ledig ikke ret til dagpenge</x:v>
      </x:c>
      <x:c r="K35" s="26" t="n">
        <x:v>4</x:v>
      </x:c>
    </x:row>
    <x:row r="36">
      <x:c r="J36" t="str">
        <x:v>Pensionist DP</x:v>
      </x:c>
      <x:c r="K36" s="26" t="n">
        <x:v>8</x:v>
      </x:c>
    </x:row>
    <x:row r="37">
      <x:c r="J37" t="str">
        <x:v>Orlov uden løn DP</x:v>
      </x:c>
      <x:c r="K37" s="26" t="n">
        <x:v>26</x:v>
      </x:c>
    </x:row>
    <x:row r="38">
      <x:c r="J38" t="str">
        <x:v>Selvstændig</x:v>
      </x:c>
      <x:c r="K38" s="26" t="n">
        <x:v>153</x:v>
      </x:c>
    </x:row>
    <x:row r="39">
      <x:c r="J39" t="str">
        <x:v>1 og 2 års Kandidater</x:v>
      </x:c>
      <x:c r="K39" s="26" t="n">
        <x:v>270</x:v>
      </x:c>
    </x:row>
    <x:row r="40">
      <x:c r="J40" t="str">
        <x:v>Normaltansat over 19 timer</x:v>
      </x:c>
      <x:c r="K40" s="26" t="n">
        <x:v>312</x:v>
      </x:c>
    </x:row>
  </x:sheetData>
  <x:mergeCells>
    <x:mergeCell ref="A1:H1"/>
  </x:mergeCells>
  <x:conditionalFormatting sqref="E4:E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32393a313e1f4e32"/>
  <x:tableParts count="1">
    <x:tablePart xmlns:r="http://schemas.openxmlformats.org/officeDocument/2006/relationships" r:id="Rd5de0579e31447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.130001068115234" hidden="0" customWidth="1"/>
    <x:col min="2" max="2" width="34" hidden="0" customWidth="1"/>
    <x:col min="5" max="5" width="25" hidden="0" customWidth="1"/>
    <x:col min="6" max="6" width="7.130000114440918" hidden="0" customWidth="1"/>
    <x:col min="7" max="7" width="7.130000114440918" hidden="0" customWidth="1"/>
    <x:col min="8" max="8" width="7.130000114440918" hidden="0" customWidth="1"/>
    <x:col min="9" max="9" width="7.130000114440918" hidden="0" customWidth="1"/>
    <x:col min="10" max="10" width="7.130000114440918" hidden="0" customWidth="1"/>
    <x:col min="11" max="11" width="21" hidden="0" customWidth="1"/>
    <x:col min="12" max="12" width="12" hidden="0" customWidth="1"/>
  </x:cols>
  <x:sheetData>
    <x:row r="1" ht="24" customHeight="1">
      <x:c r="A1" s="5" t="str">
        <x:v>Hovedgrupper - gruppering og talmateriale</x:v>
      </x:c>
    </x:row>
    <x:row r="3">
      <x:c r="A3" s="14" t="str">
        <x:v>Hovedgruppe</x:v>
      </x:c>
      <x:c r="B3" s="14" t="str">
        <x:v>Medlemstype</x:v>
      </x:c>
      <x:c r="E3" s="14" t="str">
        <x:v>Hovedgruppe</x:v>
      </x:c>
      <x:c r="F3" s="14" t="str">
        <x:v>31.12.22</x:v>
      </x:c>
      <x:c r="G3" s="14" t="str">
        <x:v>31.12.23</x:v>
      </x:c>
      <x:c r="H3" s="14" t="str">
        <x:v>31.12.24</x:v>
      </x:c>
      <x:c r="I3" s="14" t="str">
        <x:v>31.12.25</x:v>
      </x:c>
      <x:c r="J3" s="14" t="str">
        <x:v>31.05.26</x:v>
      </x:c>
      <x:c r="K3" s="14" t="str">
        <x:v>Ændring 31.12.24-31.05.26</x:v>
      </x:c>
      <x:c r="L3" s="14" t="str">
        <x:v>Andel 31.05.26</x:v>
      </x:c>
    </x:row>
    <x:row r="4">
      <x:c r="A4" t="str">
        <x:v>Ansatte</x:v>
      </x:c>
      <x:c r="B4" t="str">
        <x:v>Normaltansat over 19 timer</x:v>
      </x:c>
      <x:c r="E4" t="str">
        <x:v>Ansatte</x:v>
      </x:c>
      <x:c r="F4" s="26" t="n">
        <x:v>5587</x:v>
      </x:c>
      <x:c r="G4" s="26" t="n">
        <x:v>5735</x:v>
      </x:c>
      <x:c r="H4" s="26" t="n">
        <x:v>5882</x:v>
      </x:c>
      <x:c r="I4" s="26" t="n">
        <x:v>6094</x:v>
      </x:c>
      <x:c r="J4" s="26" t="n">
        <x:v>6160</x:v>
      </x:c>
      <x:c r="K4" s="26" t="n">
        <x:v>278</x:v>
      </x:c>
      <x:c r="L4" s="40" t="n">
        <x:v>0.46550290939318373</x:v>
      </x:c>
    </x:row>
    <x:row r="5">
      <x:c r="A5" t="str">
        <x:v>Ansatte</x:v>
      </x:c>
      <x:c r="B5" t="str">
        <x:v>Normaltansat under 20 timer</x:v>
      </x:c>
      <x:c r="E5" t="str">
        <x:v>Selvstændige</x:v>
      </x:c>
      <x:c r="F5" s="26" t="n">
        <x:v>2312</x:v>
      </x:c>
      <x:c r="G5" s="26" t="n">
        <x:v>2364</x:v>
      </x:c>
      <x:c r="H5" s="26" t="n">
        <x:v>2398</x:v>
      </x:c>
      <x:c r="I5" s="26" t="n">
        <x:v>2481</x:v>
      </x:c>
      <x:c r="J5" s="26" t="n">
        <x:v>2551</x:v>
      </x:c>
      <x:c r="K5" s="26" t="n">
        <x:v>153</x:v>
      </x:c>
      <x:c r="L5" s="40" t="n">
        <x:v>0.192775636665911</x:v>
      </x:c>
    </x:row>
    <x:row r="6">
      <x:c r="A6" t="str">
        <x:v>Ansatte</x:v>
      </x:c>
      <x:c r="B6" t="str">
        <x:v>Anden forhandlingsret</x:v>
      </x:c>
      <x:c r="E6" t="str">
        <x:v>Unge/overgang</x:v>
      </x:c>
      <x:c r="F6" s="26" t="n">
        <x:v>2049</x:v>
      </x:c>
      <x:c r="G6" s="26" t="n">
        <x:v>2204</x:v>
      </x:c>
      <x:c r="H6" s="26" t="n">
        <x:v>2615</x:v>
      </x:c>
      <x:c r="I6" s="26" t="n">
        <x:v>2930</x:v>
      </x:c>
      <x:c r="J6" s="26" t="n">
        <x:v>2832</x:v>
      </x:c>
      <x:c r="K6" s="26" t="n">
        <x:v>217</x:v>
      </x:c>
      <x:c r="L6" s="40" t="n">
        <x:v>0.21401042847426888</x:v>
      </x:c>
    </x:row>
    <x:row r="7">
      <x:c r="A7" t="str">
        <x:v>Ansatte</x:v>
      </x:c>
      <x:c r="B7" t="str">
        <x:v>DLF og DLF ret</x:v>
      </x:c>
      <x:c r="E7" t="str">
        <x:v>Ledige/orlov</x:v>
      </x:c>
      <x:c r="F7" s="26" t="n">
        <x:v>569</x:v>
      </x:c>
      <x:c r="G7" s="26" t="n">
        <x:v>557</x:v>
      </x:c>
      <x:c r="H7" s="26" t="n">
        <x:v>551</x:v>
      </x:c>
      <x:c r="I7" s="26" t="n">
        <x:v>532</x:v>
      </x:c>
      <x:c r="J7" s="26" t="n">
        <x:v>508</x:v>
      </x:c>
      <x:c r="K7" s="26" t="n">
        <x:v>-43</x:v>
      </x:c>
      <x:c r="L7" s="40" t="n">
        <x:v>0.0383888762941132</x:v>
      </x:c>
    </x:row>
    <x:row r="8">
      <x:c r="A8" t="str">
        <x:v>Ansatte</x:v>
      </x:c>
      <x:c r="B8" t="str">
        <x:v>DLF og DP ret</x:v>
      </x:c>
      <x:c r="E8" t="str">
        <x:v>Pensionister/efterløn</x:v>
      </x:c>
      <x:c r="F8" s="26" t="n">
        <x:v>1120</x:v>
      </x:c>
      <x:c r="G8" s="26" t="n">
        <x:v>1119</x:v>
      </x:c>
      <x:c r="H8" s="26" t="n">
        <x:v>1110</x:v>
      </x:c>
      <x:c r="I8" s="26" t="n">
        <x:v>1143</x:v>
      </x:c>
      <x:c r="J8" s="26" t="n">
        <x:v>1119</x:v>
      </x:c>
      <x:c r="K8" s="26" t="n">
        <x:v>9</x:v>
      </x:c>
      <x:c r="L8" s="40" t="n">
        <x:v>0.08456132396282022</x:v>
      </x:c>
    </x:row>
    <x:row r="9">
      <x:c r="A9" t="str">
        <x:v>Selvstændige</x:v>
      </x:c>
      <x:c r="B9" t="str">
        <x:v>Selvstændig</x:v>
      </x:c>
      <x:c r="E9" t="str">
        <x:v>Øvrige</x:v>
      </x:c>
      <x:c r="F9" s="26" t="n">
        <x:v>78</x:v>
      </x:c>
      <x:c r="G9" s="26" t="n">
        <x:v>72</x:v>
      </x:c>
      <x:c r="H9" s="26" t="n">
        <x:v>78</x:v>
      </x:c>
      <x:c r="I9" s="26" t="n">
        <x:v>68</x:v>
      </x:c>
      <x:c r="J9" s="26" t="n">
        <x:v>63</x:v>
      </x:c>
      <x:c r="K9" s="26" t="n">
        <x:v>-15</x:v>
      </x:c>
      <x:c r="L9" s="40" t="n">
        <x:v>0.004760825209703015</x:v>
      </x:c>
    </x:row>
    <x:row r="10">
      <x:c r="A10" t="str">
        <x:v>Unge/overgang</x:v>
      </x:c>
      <x:c r="B10" t="str">
        <x:v>Studerende DP</x:v>
      </x:c>
    </x:row>
    <x:row r="11">
      <x:c r="A11" t="str">
        <x:v>Unge/overgang</x:v>
      </x:c>
      <x:c r="B11" t="str">
        <x:v>Psykologistuderende</x:v>
      </x:c>
    </x:row>
    <x:row r="12">
      <x:c r="A12" t="str">
        <x:v>Unge/overgang</x:v>
      </x:c>
      <x:c r="B12" t="str">
        <x:v>1 og 2 års Kandidater</x:v>
      </x:c>
    </x:row>
    <x:row r="13">
      <x:c r="A13" t="str">
        <x:v>Unge/overgang</x:v>
      </x:c>
      <x:c r="B13" t="str">
        <x:v>Ph.d. studerende</x:v>
      </x:c>
    </x:row>
    <x:row r="14">
      <x:c r="A14" t="str">
        <x:v>Ledige/orlov</x:v>
      </x:c>
      <x:c r="B14" t="str">
        <x:v>Ledig DP</x:v>
      </x:c>
    </x:row>
    <x:row r="15">
      <x:c r="A15" t="str">
        <x:v>Ledige/orlov</x:v>
      </x:c>
      <x:c r="B15" t="str">
        <x:v>Ledig ikke ret til dagpenge</x:v>
      </x:c>
    </x:row>
    <x:row r="16">
      <x:c r="A16" t="str">
        <x:v>Ledige/orlov</x:v>
      </x:c>
      <x:c r="B16" t="str">
        <x:v>Orlov uden løn DP</x:v>
      </x:c>
    </x:row>
    <x:row r="17">
      <x:c r="A17" t="str">
        <x:v>Ledige/orlov</x:v>
      </x:c>
      <x:c r="B17" t="str">
        <x:v>Med løntilskud</x:v>
      </x:c>
    </x:row>
    <x:row r="18">
      <x:c r="A18" t="str">
        <x:v>Pensionister/efterløn</x:v>
      </x:c>
      <x:c r="B18" t="str">
        <x:v>Pensionist DP</x:v>
      </x:c>
    </x:row>
    <x:row r="19">
      <x:c r="A19" t="str">
        <x:v>Pensionister/efterløn</x:v>
      </x:c>
      <x:c r="B19" t="str">
        <x:v>Pensionist DP - Udland</x:v>
      </x:c>
    </x:row>
    <x:row r="20">
      <x:c r="A20" t="str">
        <x:v>Pensionister/efterløn</x:v>
      </x:c>
      <x:c r="B20" t="str">
        <x:v>Efterløn DP</x:v>
      </x:c>
    </x:row>
    <x:row r="21">
      <x:c r="A21" t="str">
        <x:v>Øvrige</x:v>
      </x:c>
      <x:c r="B21" t="str">
        <x:v>Udland DP</x:v>
      </x:c>
    </x:row>
    <x:row r="22">
      <x:c r="A22" t="str">
        <x:v>Øvrige</x:v>
      </x:c>
      <x:c r="B22" t="str">
        <x:v>DM1 Mag. art.</x:v>
      </x:c>
    </x:row>
    <x:row r="23">
      <x:c r="A23" t="str">
        <x:v>Øvrige</x:v>
      </x:c>
      <x:c r="B23" t="str">
        <x:v>Æresmedlem</x:v>
      </x:c>
    </x:row>
    <x:row r="24">
      <x:c r="A24" t="str">
        <x:v>Øvrige</x:v>
      </x:c>
      <x:c r="B24" t="str">
        <x:v>DP medlem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eabec8276ee4cdf"/>
  <x:tableParts count="2">
    <x:tablePart xmlns:r="http://schemas.openxmlformats.org/officeDocument/2006/relationships" r:id="R7376b5a22ff3453f"/>
    <x:tablePart xmlns:r="http://schemas.openxmlformats.org/officeDocument/2006/relationships" r:id="Rfbf9eee86513468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.130000114440918" hidden="0" customWidth="1"/>
    <x:col min="3" max="3" width="7.130000114440918" hidden="0" customWidth="1"/>
    <x:col min="4" max="4" width="7.130000114440918" hidden="0" customWidth="1"/>
    <x:col min="5" max="5" width="21" hidden="0" customWidth="1"/>
  </x:cols>
  <x:sheetData>
    <x:row r="1" ht="24" customHeight="1">
      <x:c r="A1" s="5" t="str">
        <x:v>Heatmap-data: ændring siden 31.12.24</x:v>
      </x:c>
    </x:row>
    <x:row r="3">
      <x:c r="A3" s="14" t="str">
        <x:v>Medlemstype</x:v>
      </x:c>
      <x:c r="B3" s="14" t="str">
        <x:v>31.12.24</x:v>
      </x:c>
      <x:c r="C3" s="14" t="str">
        <x:v>31.12.25</x:v>
      </x:c>
      <x:c r="D3" s="14" t="str">
        <x:v>31.05.26</x:v>
      </x:c>
      <x:c r="E3" s="14" t="str">
        <x:v>Ændring 31.12.24-31.05.26</x:v>
      </x:c>
    </x:row>
    <x:row r="4">
      <x:c r="A4" t="str">
        <x:v>Ledig DP</x:v>
      </x:c>
      <x:c r="B4" s="26" t="n">
        <x:v>441</x:v>
      </x:c>
      <x:c r="C4" s="26" t="n">
        <x:v>394</x:v>
      </x:c>
      <x:c r="D4" s="26" t="n">
        <x:v>367</x:v>
      </x:c>
      <x:c r="E4" s="26" t="n">
        <x:v>-74</x:v>
      </x:c>
    </x:row>
    <x:row r="5">
      <x:c r="A5" t="str">
        <x:v>Studerende DP</x:v>
      </x:c>
      <x:c r="B5" s="26" t="n">
        <x:v>1938</x:v>
      </x:c>
      <x:c r="C5" s="26" t="n">
        <x:v>1995</x:v>
      </x:c>
      <x:c r="D5" s="26" t="n">
        <x:v>1887</x:v>
      </x:c>
      <x:c r="E5" s="26" t="n">
        <x:v>-51</x:v>
      </x:c>
    </x:row>
    <x:row r="6">
      <x:c r="A6" t="str">
        <x:v>DLF og DLF ret</x:v>
      </x:c>
      <x:c r="B6" s="26" t="n">
        <x:v>122</x:v>
      </x:c>
      <x:c r="C6" s="26" t="n">
        <x:v>101</x:v>
      </x:c>
      <x:c r="D6" s="26" t="n">
        <x:v>96</x:v>
      </x:c>
      <x:c r="E6" s="26" t="n">
        <x:v>-26</x:v>
      </x:c>
    </x:row>
    <x:row r="7">
      <x:c r="A7" t="str">
        <x:v>Udland DP</x:v>
      </x:c>
      <x:c r="B7" s="26" t="n">
        <x:v>64</x:v>
      </x:c>
      <x:c r="C7" s="26" t="n">
        <x:v>53</x:v>
      </x:c>
      <x:c r="D7" s="26" t="n">
        <x:v>49</x:v>
      </x:c>
      <x:c r="E7" s="26" t="n">
        <x:v>-15</x:v>
      </x:c>
    </x:row>
    <x:row r="8">
      <x:c r="A8" t="str">
        <x:v>DLF og DP ret</x:v>
      </x:c>
      <x:c r="B8" s="26" t="n">
        <x:v>42</x:v>
      </x:c>
      <x:c r="C8" s="26" t="n">
        <x:v>32</x:v>
      </x:c>
      <x:c r="D8" s="26" t="n">
        <x:v>31</x:v>
      </x:c>
      <x:c r="E8" s="26" t="n">
        <x:v>-11</x:v>
      </x:c>
    </x:row>
    <x:row r="9">
      <x:c r="A9" t="str">
        <x:v>Efterløn DP</x:v>
      </x:c>
      <x:c r="B9" s="26" t="n">
        <x:v>17</x:v>
      </x:c>
      <x:c r="C9" s="26" t="n">
        <x:v>15</x:v>
      </x:c>
      <x:c r="D9" s="26" t="n">
        <x:v>15</x:v>
      </x:c>
      <x:c r="E9" s="26" t="n">
        <x:v>-2</x:v>
      </x:c>
    </x:row>
    <x:row r="10">
      <x:c r="A10" t="str">
        <x:v>DM1 Mag. art.</x:v>
      </x:c>
      <x:c r="B10" s="26" t="n">
        <x:v>6</x:v>
      </x:c>
      <x:c r="C10" s="26" t="n">
        <x:v>5</x:v>
      </x:c>
      <x:c r="D10" s="26" t="n">
        <x:v>4</x:v>
      </x:c>
      <x:c r="E10" s="26" t="n">
        <x:v>-2</x:v>
      </x:c>
    </x:row>
    <x:row r="11">
      <x:c r="A11" t="str">
        <x:v>Psykologistuderende</x:v>
      </x:c>
      <x:c r="B11" s="26" t="n">
        <x:v>1</x:v>
      </x:c>
      <x:c r="C11" s="26" t="n">
        <x:v>1</x:v>
      </x:c>
      <x:c r="D11" s="26" t="n">
        <x:v>0</x:v>
      </x:c>
      <x:c r="E11" s="26" t="n">
        <x:v>-1</x:v>
      </x:c>
    </x:row>
    <x:row r="12">
      <x:c r="A12" t="str">
        <x:v>Ph.d. studerende</x:v>
      </x:c>
      <x:c r="B12" s="26" t="n">
        <x:v>48</x:v>
      </x:c>
      <x:c r="C12" s="26" t="n">
        <x:v>50</x:v>
      </x:c>
      <x:c r="D12" s="26" t="n">
        <x:v>47</x:v>
      </x:c>
      <x:c r="E12" s="26" t="n">
        <x:v>-1</x:v>
      </x:c>
    </x:row>
    <x:row r="13">
      <x:c r="A13" t="str">
        <x:v>Normaltansat under 20 timer</x:v>
      </x:c>
      <x:c r="B13" s="26" t="n">
        <x:v>111</x:v>
      </x:c>
      <x:c r="C13" s="26" t="n">
        <x:v>107</x:v>
      </x:c>
      <x:c r="D13" s="26" t="n">
        <x:v>110</x:v>
      </x:c>
      <x:c r="E13" s="26" t="n">
        <x:v>-1</x:v>
      </x:c>
    </x:row>
    <x:row r="14">
      <x:c r="A14" t="str">
        <x:v>DP medlem</x:v>
      </x:c>
      <x:c r="B14" s="26" t="n">
        <x:v>0</x:v>
      </x:c>
      <x:c r="C14" s="26" t="n">
        <x:v>0</x:v>
      </x:c>
      <x:c r="D14" s="26" t="n">
        <x:v>0</x:v>
      </x:c>
      <x:c r="E14" s="26" t="n">
        <x:v>0</x:v>
      </x:c>
    </x:row>
    <x:row r="15">
      <x:c r="A15" t="str">
        <x:v>Med løntilskud</x:v>
      </x:c>
      <x:c r="B15" s="26" t="n">
        <x:v>20</x:v>
      </x:c>
      <x:c r="C15" s="26" t="n">
        <x:v>20</x:v>
      </x:c>
      <x:c r="D15" s="26" t="n">
        <x:v>21</x:v>
      </x:c>
      <x:c r="E15" s="26" t="n">
        <x:v>1</x:v>
      </x:c>
    </x:row>
    <x:row r="16">
      <x:c r="A16" t="str">
        <x:v>Æresmedlem</x:v>
      </x:c>
      <x:c r="B16" s="26" t="n">
        <x:v>8</x:v>
      </x:c>
      <x:c r="C16" s="26" t="n">
        <x:v>10</x:v>
      </x:c>
      <x:c r="D16" s="26" t="n">
        <x:v>10</x:v>
      </x:c>
      <x:c r="E16" s="26" t="n">
        <x:v>2</x:v>
      </x:c>
    </x:row>
    <x:row r="17">
      <x:c r="A17" t="str">
        <x:v>Pensionist DP - Udland</x:v>
      </x:c>
      <x:c r="B17" s="26" t="n">
        <x:v>15</x:v>
      </x:c>
      <x:c r="C17" s="26" t="n">
        <x:v>19</x:v>
      </x:c>
      <x:c r="D17" s="26" t="n">
        <x:v>18</x:v>
      </x:c>
      <x:c r="E17" s="26" t="n">
        <x:v>3</x:v>
      </x:c>
    </x:row>
    <x:row r="18">
      <x:c r="A18" t="str">
        <x:v>Anden forhandlingsret</x:v>
      </x:c>
      <x:c r="B18" s="26" t="n">
        <x:v>23</x:v>
      </x:c>
      <x:c r="C18" s="26" t="n">
        <x:v>28</x:v>
      </x:c>
      <x:c r="D18" s="26" t="n">
        <x:v>27</x:v>
      </x:c>
      <x:c r="E18" s="26" t="n">
        <x:v>4</x:v>
      </x:c>
    </x:row>
    <x:row r="19">
      <x:c r="A19" t="str">
        <x:v>Ledig ikke ret til dagpenge</x:v>
      </x:c>
      <x:c r="B19" s="26" t="n">
        <x:v>50</x:v>
      </x:c>
      <x:c r="C19" s="26" t="n">
        <x:v>60</x:v>
      </x:c>
      <x:c r="D19" s="26" t="n">
        <x:v>54</x:v>
      </x:c>
      <x:c r="E19" s="26" t="n">
        <x:v>4</x:v>
      </x:c>
    </x:row>
    <x:row r="20">
      <x:c r="A20" t="str">
        <x:v>Pensionist DP</x:v>
      </x:c>
      <x:c r="B20" s="26" t="n">
        <x:v>1078</x:v>
      </x:c>
      <x:c r="C20" s="26" t="n">
        <x:v>1109</x:v>
      </x:c>
      <x:c r="D20" s="26" t="n">
        <x:v>1086</x:v>
      </x:c>
      <x:c r="E20" s="26" t="n">
        <x:v>8</x:v>
      </x:c>
    </x:row>
    <x:row r="21">
      <x:c r="A21" t="str">
        <x:v>Orlov uden løn DP</x:v>
      </x:c>
      <x:c r="B21" s="26" t="n">
        <x:v>40</x:v>
      </x:c>
      <x:c r="C21" s="26" t="n">
        <x:v>58</x:v>
      </x:c>
      <x:c r="D21" s="26" t="n">
        <x:v>66</x:v>
      </x:c>
      <x:c r="E21" s="26" t="n">
        <x:v>26</x:v>
      </x:c>
    </x:row>
    <x:row r="22">
      <x:c r="A22" t="str">
        <x:v>Selvstændig</x:v>
      </x:c>
      <x:c r="B22" s="26" t="n">
        <x:v>2398</x:v>
      </x:c>
      <x:c r="C22" s="26" t="n">
        <x:v>2481</x:v>
      </x:c>
      <x:c r="D22" s="26" t="n">
        <x:v>2551</x:v>
      </x:c>
      <x:c r="E22" s="26" t="n">
        <x:v>153</x:v>
      </x:c>
    </x:row>
    <x:row r="23">
      <x:c r="A23" t="str">
        <x:v>1 og 2 års Kandidater</x:v>
      </x:c>
      <x:c r="B23" s="26" t="n">
        <x:v>628</x:v>
      </x:c>
      <x:c r="C23" s="26" t="n">
        <x:v>884</x:v>
      </x:c>
      <x:c r="D23" s="26" t="n">
        <x:v>898</x:v>
      </x:c>
      <x:c r="E23" s="26" t="n">
        <x:v>270</x:v>
      </x:c>
    </x:row>
    <x:row r="24">
      <x:c r="A24" t="str">
        <x:v>Normaltansat over 19 timer</x:v>
      </x:c>
      <x:c r="B24" s="26" t="n">
        <x:v>5584</x:v>
      </x:c>
      <x:c r="C24" s="26" t="n">
        <x:v>5826</x:v>
      </x:c>
      <x:c r="D24" s="26" t="n">
        <x:v>5896</x:v>
      </x:c>
      <x:c r="E24" s="26" t="n">
        <x:v>312</x:v>
      </x:c>
    </x:row>
  </x:sheetData>
  <x:mergeCells>
    <x:mergeCell ref="A1:E1"/>
  </x:mergeCells>
  <x:conditionalFormatting sqref="E4:E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61c5b01781e40e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5.75" hidden="0" customWidth="1"/>
    <x:col min="2" max="2" width="14" hidden="0" customWidth="1"/>
    <x:col min="3" max="3" width="18.5" hidden="0" customWidth="1"/>
    <x:col min="4" max="4" width="8.380000114440918" hidden="0" customWidth="1"/>
    <x:col min="5" max="5" width="5.25" hidden="0" customWidth="1"/>
  </x:cols>
  <x:sheetData>
    <x:row r="1" ht="24" customHeight="1">
      <x:c r="A1" s="5" t="str">
        <x:v>Datatjek: kontingentkategorier vs. totalrækken</x:v>
      </x:c>
    </x:row>
    <x:row r="3">
      <x:c r="A3" s="14" t="str">
        <x:v>Dato</x:v>
      </x:c>
      <x:c r="B3" s="14" t="str">
        <x:v>Sum af kategorier</x:v>
      </x:c>
      <x:c r="C3" s="14" t="str">
        <x:v>Total ifølge totalrækken</x:v>
      </x:c>
      <x:c r="D3" s="14" t="str">
        <x:v>Difference</x:v>
      </x:c>
      <x:c r="E3" s="14" t="str">
        <x:v>Status</x:v>
      </x:c>
    </x:row>
    <x:row r="4">
      <x:c r="A4" s="38" t="n">
        <x:v>44592</x:v>
      </x:c>
      <x:c r="B4" s="26" t="n">
        <x:f>SUM('01_Rådata_bred'!$B$2:$B$22)</x:f>
        <x:v>11705</x:v>
      </x:c>
      <x:c r="C4" s="26" t="n">
        <x:f>'01_Rådata_bred'!$B$23</x:f>
        <x:v>11705</x:v>
      </x:c>
      <x:c r="D4" s="26" t="n">
        <x:f>B4-C4</x:f>
        <x:v>0</x:v>
      </x:c>
      <x:c r="E4" t="str">
        <x:f>IF(D4=0,"OK","Tjek")</x:f>
        <x:v>OK</x:v>
      </x:c>
    </x:row>
    <x:row r="5">
      <x:c r="A5" s="38" t="n">
        <x:v>44651</x:v>
      </x:c>
      <x:c r="B5" s="26" t="n">
        <x:f>SUM('01_Rådata_bred'!$C$2:$C$22)</x:f>
        <x:v>11717</x:v>
      </x:c>
      <x:c r="C5" s="26" t="n">
        <x:f>'01_Rådata_bred'!$C$23</x:f>
        <x:v>11717</x:v>
      </x:c>
      <x:c r="D5" s="26" t="n">
        <x:f>B5-C5</x:f>
        <x:v>0</x:v>
      </x:c>
      <x:c r="E5" t="str">
        <x:f>IF(D5=0,"OK","Tjek")</x:f>
        <x:v>OK</x:v>
      </x:c>
    </x:row>
    <x:row r="6">
      <x:c r="A6" s="38" t="n">
        <x:v>44742</x:v>
      </x:c>
      <x:c r="B6" s="26" t="n">
        <x:f>SUM('01_Rådata_bred'!$D$2:$D$22)</x:f>
        <x:v>11699</x:v>
      </x:c>
      <x:c r="C6" s="26" t="n">
        <x:f>'01_Rådata_bred'!$D$23</x:f>
        <x:v>11699</x:v>
      </x:c>
      <x:c r="D6" s="26" t="n">
        <x:f>B6-C6</x:f>
        <x:v>0</x:v>
      </x:c>
      <x:c r="E6" t="str">
        <x:f>IF(D6=0,"OK","Tjek")</x:f>
        <x:v>OK</x:v>
      </x:c>
    </x:row>
    <x:row r="7">
      <x:c r="A7" s="38" t="n">
        <x:v>44834</x:v>
      </x:c>
      <x:c r="B7" s="26" t="n">
        <x:f>SUM('01_Rådata_bred'!$E$2:$E$22)</x:f>
        <x:v>11755</x:v>
      </x:c>
      <x:c r="C7" s="26" t="n">
        <x:f>'01_Rådata_bred'!$E$23</x:f>
        <x:v>11755</x:v>
      </x:c>
      <x:c r="D7" s="26" t="n">
        <x:f>B7-C7</x:f>
        <x:v>0</x:v>
      </x:c>
      <x:c r="E7" t="str">
        <x:f>IF(D7=0,"OK","Tjek")</x:f>
        <x:v>OK</x:v>
      </x:c>
    </x:row>
    <x:row r="8">
      <x:c r="A8" s="38" t="n">
        <x:v>44926</x:v>
      </x:c>
      <x:c r="B8" s="26" t="n">
        <x:f>SUM('01_Rådata_bred'!$F$2:$F$22)</x:f>
        <x:v>11715</x:v>
      </x:c>
      <x:c r="C8" s="26" t="n">
        <x:f>'01_Rådata_bred'!$F$23</x:f>
        <x:v>11715</x:v>
      </x:c>
      <x:c r="D8" s="26" t="n">
        <x:f>B8-C8</x:f>
        <x:v>0</x:v>
      </x:c>
      <x:c r="E8" t="str">
        <x:f>IF(D8=0,"OK","Tjek")</x:f>
        <x:v>OK</x:v>
      </x:c>
    </x:row>
    <x:row r="9">
      <x:c r="A9" s="38" t="n">
        <x:v>44957</x:v>
      </x:c>
      <x:c r="B9" s="26" t="n">
        <x:f>SUM('01_Rådata_bred'!$G$2:$G$22)</x:f>
        <x:v>11698</x:v>
      </x:c>
      <x:c r="C9" s="26" t="n">
        <x:f>'01_Rådata_bred'!$G$23</x:f>
        <x:v>11698</x:v>
      </x:c>
      <x:c r="D9" s="26" t="n">
        <x:f>B9-C9</x:f>
        <x:v>0</x:v>
      </x:c>
      <x:c r="E9" t="str">
        <x:f>IF(D9=0,"OK","Tjek")</x:f>
        <x:v>OK</x:v>
      </x:c>
    </x:row>
    <x:row r="10">
      <x:c r="A10" s="38" t="n">
        <x:v>45016</x:v>
      </x:c>
      <x:c r="B10" s="26" t="n">
        <x:f>SUM('01_Rådata_bred'!$H$2:$H$22)</x:f>
        <x:v>11696</x:v>
      </x:c>
      <x:c r="C10" s="26" t="n">
        <x:f>'01_Rådata_bred'!$H$23</x:f>
        <x:v>11696</x:v>
      </x:c>
      <x:c r="D10" s="26" t="n">
        <x:f>B10-C10</x:f>
        <x:v>0</x:v>
      </x:c>
      <x:c r="E10" t="str">
        <x:f>IF(D10=0,"OK","Tjek")</x:f>
        <x:v>OK</x:v>
      </x:c>
    </x:row>
    <x:row r="11">
      <x:c r="A11" s="38" t="n">
        <x:v>45107</x:v>
      </x:c>
      <x:c r="B11" s="26" t="n">
        <x:f>SUM('01_Rådata_bred'!$I$2:$I$22)</x:f>
        <x:v>11707</x:v>
      </x:c>
      <x:c r="C11" s="26" t="n">
        <x:f>'01_Rådata_bred'!$I$23</x:f>
        <x:v>11707</x:v>
      </x:c>
      <x:c r="D11" s="26" t="n">
        <x:f>B11-C11</x:f>
        <x:v>0</x:v>
      </x:c>
      <x:c r="E11" t="str">
        <x:f>IF(D11=0,"OK","Tjek")</x:f>
        <x:v>OK</x:v>
      </x:c>
    </x:row>
    <x:row r="12">
      <x:c r="A12" s="38" t="n">
        <x:v>45199</x:v>
      </x:c>
      <x:c r="B12" s="26" t="n">
        <x:f>SUM('01_Rådata_bred'!$J$2:$J$22)</x:f>
        <x:v>12045</x:v>
      </x:c>
      <x:c r="C12" s="26" t="n">
        <x:f>'01_Rådata_bred'!$J$23</x:f>
        <x:v>12045</x:v>
      </x:c>
      <x:c r="D12" s="26" t="n">
        <x:f>B12-C12</x:f>
        <x:v>0</x:v>
      </x:c>
      <x:c r="E12" t="str">
        <x:f>IF(D12=0,"OK","Tjek")</x:f>
        <x:v>OK</x:v>
      </x:c>
    </x:row>
    <x:row r="13">
      <x:c r="A13" s="38" t="n">
        <x:v>45291</x:v>
      </x:c>
      <x:c r="B13" s="26" t="n">
        <x:f>SUM('01_Rådata_bred'!$K$2:$K$22)</x:f>
        <x:v>12051</x:v>
      </x:c>
      <x:c r="C13" s="26" t="n">
        <x:f>'01_Rådata_bred'!$K$23</x:f>
        <x:v>12051</x:v>
      </x:c>
      <x:c r="D13" s="26" t="n">
        <x:f>B13-C13</x:f>
        <x:v>0</x:v>
      </x:c>
      <x:c r="E13" t="str">
        <x:f>IF(D13=0,"OK","Tjek")</x:f>
        <x:v>OK</x:v>
      </x:c>
    </x:row>
    <x:row r="14">
      <x:c r="A14" s="38" t="n">
        <x:v>45322</x:v>
      </x:c>
      <x:c r="B14" s="26" t="n">
        <x:f>SUM('01_Rådata_bred'!$L$2:$L$22)</x:f>
        <x:v>12043</x:v>
      </x:c>
      <x:c r="C14" s="26" t="n">
        <x:f>'01_Rådata_bred'!$L$23</x:f>
        <x:v>12043</x:v>
      </x:c>
      <x:c r="D14" s="26" t="n">
        <x:f>B14-C14</x:f>
        <x:v>0</x:v>
      </x:c>
      <x:c r="E14" t="str">
        <x:f>IF(D14=0,"OK","Tjek")</x:f>
        <x:v>OK</x:v>
      </x:c>
    </x:row>
    <x:row r="15">
      <x:c r="A15" s="38" t="n">
        <x:v>45382</x:v>
      </x:c>
      <x:c r="B15" s="26" t="n">
        <x:f>SUM('01_Rådata_bred'!$M$2:$M$22)</x:f>
        <x:v>12039</x:v>
      </x:c>
      <x:c r="C15" s="26" t="n">
        <x:f>'01_Rådata_bred'!$M$23</x:f>
        <x:v>12039</x:v>
      </x:c>
      <x:c r="D15" s="26" t="n">
        <x:f>B15-C15</x:f>
        <x:v>0</x:v>
      </x:c>
      <x:c r="E15" t="str">
        <x:f>IF(D15=0,"OK","Tjek")</x:f>
        <x:v>OK</x:v>
      </x:c>
    </x:row>
    <x:row r="16">
      <x:c r="A16" s="38" t="n">
        <x:v>45473</x:v>
      </x:c>
      <x:c r="B16" s="26" t="n">
        <x:f>SUM('01_Rådata_bred'!$N$2:$N$22)</x:f>
        <x:v>12065</x:v>
      </x:c>
      <x:c r="C16" s="26" t="n">
        <x:f>'01_Rådata_bred'!$N$23</x:f>
        <x:v>12065</x:v>
      </x:c>
      <x:c r="D16" s="26" t="n">
        <x:f>B16-C16</x:f>
        <x:v>0</x:v>
      </x:c>
      <x:c r="E16" t="str">
        <x:f>IF(D16=0,"OK","Tjek")</x:f>
        <x:v>OK</x:v>
      </x:c>
    </x:row>
    <x:row r="17">
      <x:c r="A17" s="38" t="n">
        <x:v>45565</x:v>
      </x:c>
      <x:c r="B17" s="26" t="n">
        <x:f>SUM('01_Rådata_bred'!$O$2:$O$22)</x:f>
        <x:v>12505</x:v>
      </x:c>
      <x:c r="C17" s="26" t="n">
        <x:f>'01_Rådata_bred'!$O$23</x:f>
        <x:v>12505</x:v>
      </x:c>
      <x:c r="D17" s="26" t="n">
        <x:f>B17-C17</x:f>
        <x:v>0</x:v>
      </x:c>
      <x:c r="E17" t="str">
        <x:f>IF(D17=0,"OK","Tjek")</x:f>
        <x:v>OK</x:v>
      </x:c>
    </x:row>
    <x:row r="18">
      <x:c r="A18" s="38" t="n">
        <x:v>45657</x:v>
      </x:c>
      <x:c r="B18" s="26" t="n">
        <x:f>SUM('01_Rådata_bred'!$P$2:$P$22)</x:f>
        <x:v>12634</x:v>
      </x:c>
      <x:c r="C18" s="26" t="n">
        <x:f>'01_Rådata_bred'!$P$23</x:f>
        <x:v>12634</x:v>
      </x:c>
      <x:c r="D18" s="26" t="n">
        <x:f>B18-C18</x:f>
        <x:v>0</x:v>
      </x:c>
      <x:c r="E18" t="str">
        <x:f>IF(D18=0,"OK","Tjek")</x:f>
        <x:v>OK</x:v>
      </x:c>
    </x:row>
    <x:row r="19">
      <x:c r="A19" s="38" t="n">
        <x:v>45688</x:v>
      </x:c>
      <x:c r="B19" s="26" t="n">
        <x:f>SUM('01_Rådata_bred'!$Q$2:$Q$22)</x:f>
        <x:v>12618</x:v>
      </x:c>
      <x:c r="C19" s="26" t="n">
        <x:f>'01_Rådata_bred'!$Q$23</x:f>
        <x:v>12618</x:v>
      </x:c>
      <x:c r="D19" s="26" t="n">
        <x:f>B19-C19</x:f>
        <x:v>0</x:v>
      </x:c>
      <x:c r="E19" t="str">
        <x:f>IF(D19=0,"OK","Tjek")</x:f>
        <x:v>OK</x:v>
      </x:c>
    </x:row>
    <x:row r="20">
      <x:c r="A20" s="38" t="n">
        <x:v>45747</x:v>
      </x:c>
      <x:c r="B20" s="26" t="n">
        <x:f>SUM('01_Rådata_bred'!$R$2:$R$22)</x:f>
        <x:v>12678</x:v>
      </x:c>
      <x:c r="C20" s="26" t="n">
        <x:f>'01_Rådata_bred'!$R$23</x:f>
        <x:v>12678</x:v>
      </x:c>
      <x:c r="D20" s="26" t="n">
        <x:f>B20-C20</x:f>
        <x:v>0</x:v>
      </x:c>
      <x:c r="E20" t="str">
        <x:f>IF(D20=0,"OK","Tjek")</x:f>
        <x:v>OK</x:v>
      </x:c>
    </x:row>
    <x:row r="21">
      <x:c r="A21" s="38" t="n">
        <x:v>45838</x:v>
      </x:c>
      <x:c r="B21" s="26" t="n">
        <x:f>SUM('01_Rådata_bred'!$S$2:$S$22)</x:f>
        <x:v>12706</x:v>
      </x:c>
      <x:c r="C21" s="26" t="n">
        <x:f>'01_Rådata_bred'!$S$23</x:f>
        <x:v>12706</x:v>
      </x:c>
      <x:c r="D21" s="26" t="n">
        <x:f>B21-C21</x:f>
        <x:v>0</x:v>
      </x:c>
      <x:c r="E21" t="str">
        <x:f>IF(D21=0,"OK","Tjek")</x:f>
        <x:v>OK</x:v>
      </x:c>
    </x:row>
    <x:row r="22">
      <x:c r="A22" s="38" t="n">
        <x:v>45930</x:v>
      </x:c>
      <x:c r="B22" s="26" t="n">
        <x:f>SUM('01_Rådata_bred'!$T$2:$T$22)</x:f>
        <x:v>13090</x:v>
      </x:c>
      <x:c r="C22" s="26" t="n">
        <x:f>'01_Rådata_bred'!$T$23</x:f>
        <x:v>13090</x:v>
      </x:c>
      <x:c r="D22" s="26" t="n">
        <x:f>B22-C22</x:f>
        <x:v>0</x:v>
      </x:c>
      <x:c r="E22" t="str">
        <x:f>IF(D22=0,"OK","Tjek")</x:f>
        <x:v>OK</x:v>
      </x:c>
    </x:row>
    <x:row r="23">
      <x:c r="A23" s="38" t="n">
        <x:v>46022</x:v>
      </x:c>
      <x:c r="B23" s="26" t="n">
        <x:f>SUM('01_Rådata_bred'!$U$2:$U$22)</x:f>
        <x:v>13248</x:v>
      </x:c>
      <x:c r="C23" s="26" t="n">
        <x:f>'01_Rådata_bred'!$U$23</x:f>
        <x:v>13248</x:v>
      </x:c>
      <x:c r="D23" s="26" t="n">
        <x:f>B23-C23</x:f>
        <x:v>0</x:v>
      </x:c>
      <x:c r="E23" t="str">
        <x:f>IF(D23=0,"OK","Tjek")</x:f>
        <x:v>OK</x:v>
      </x:c>
    </x:row>
    <x:row r="24">
      <x:c r="A24" s="38" t="n">
        <x:v>46053</x:v>
      </x:c>
      <x:c r="B24" s="26" t="n">
        <x:f>SUM('01_Rådata_bred'!$V$2:$V$22)</x:f>
        <x:v>13205</x:v>
      </x:c>
      <x:c r="C24" s="26" t="n">
        <x:f>'01_Rådata_bred'!$V$23</x:f>
        <x:v>13205</x:v>
      </x:c>
      <x:c r="D24" s="26" t="n">
        <x:f>B24-C24</x:f>
        <x:v>0</x:v>
      </x:c>
      <x:c r="E24" t="str">
        <x:f>IF(D24=0,"OK","Tjek")</x:f>
        <x:v>OK</x:v>
      </x:c>
    </x:row>
    <x:row r="25">
      <x:c r="A25" s="38" t="n">
        <x:v>46112</x:v>
      </x:c>
      <x:c r="B25" s="26" t="n">
        <x:f>SUM('01_Rådata_bred'!$W$2:$W$22)</x:f>
        <x:v>13212</x:v>
      </x:c>
      <x:c r="C25" s="26" t="n">
        <x:f>'01_Rådata_bred'!$W$23</x:f>
        <x:v>13212</x:v>
      </x:c>
      <x:c r="D25" s="26" t="n">
        <x:f>B25-C25</x:f>
        <x:v>0</x:v>
      </x:c>
      <x:c r="E25" t="str">
        <x:f>IF(D25=0,"OK","Tjek")</x:f>
        <x:v>OK</x:v>
      </x:c>
    </x:row>
    <x:row r="26">
      <x:c r="A26" s="38" t="n">
        <x:v>46173</x:v>
      </x:c>
      <x:c r="B26" s="26" t="n">
        <x:f>SUM('01_Rådata_bred'!$X$2:$X$22)</x:f>
        <x:v>13233</x:v>
      </x:c>
      <x:c r="C26" s="26" t="n">
        <x:f>'01_Rådata_bred'!$X$23</x:f>
        <x:v>13233</x:v>
      </x:c>
      <x:c r="D26" s="26" t="n">
        <x:f>B26-C26</x:f>
        <x:v>0</x:v>
      </x:c>
      <x:c r="E26" t="str">
        <x:f>IF(D26=0,"OK","Tjek")</x:f>
        <x:v>OK</x:v>
      </x:c>
    </x:row>
  </x:sheetData>
  <x:mergeCells>
    <x:mergeCell ref="A1:E1"/>
  </x:mergeCells>
  <x:conditionalFormatting sqref="D4:D26">
    <x:cfRule type="cellIs" dxfId="0" priority="1" operator="notEqual">
      <x:formula>0</x:formula>
    </x:cfRule>
  </x:conditionalFormatting>
  <x:conditionalFormatting sqref="E4:E26">
    <x:cfRule type="expression" dxfId="1" priority="2">
      <x:formula>E4="Tjek"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0790d7b5f449d6"/>
  </x:tableParts>
</x:worksheet>
</file>