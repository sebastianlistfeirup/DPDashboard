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2.xml" ContentType="application/vnd.openxmlformats-officedocument.drawingml.char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3b3331b70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e2f18509a3a4be3"/>
    <x:sheet xmlns:r="http://schemas.openxmlformats.org/officeDocument/2006/relationships" name="Historisk_data" sheetId="2" r:id="Rc504003d633a479f"/>
    <x:sheet xmlns:r="http://schemas.openxmlformats.org/officeDocument/2006/relationships" name="Fremskrivning_2029" sheetId="3" r:id="R51397c9ce274417e"/>
    <x:sheet xmlns:r="http://schemas.openxmlformats.org/officeDocument/2006/relationships" name="Grafdata" sheetId="4" r:id="Rdb659bc765444898"/>
    <x:sheet xmlns:r="http://schemas.openxmlformats.org/officeDocument/2006/relationships" name="Graf_alle" sheetId="5" r:id="Rcaf78fd7c7064376"/>
    <x:sheet xmlns:r="http://schemas.openxmlformats.org/officeDocument/2006/relationships" name="Redigerbar_graf" sheetId="6" r:id="Rb7ad5cbc7c15434b"/>
    <x:sheet xmlns:r="http://schemas.openxmlformats.org/officeDocument/2006/relationships" name="Kategori_overblik" sheetId="7" r:id="R30917c6fd1994d30"/>
    <x:sheet xmlns:r="http://schemas.openxmlformats.org/officeDocument/2006/relationships" name="Datatjek" sheetId="8" r:id="R16cb2dfb5fc6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"/>
    <x:numFmt numFmtId="201" formatCode="#,##0"/>
    <x:numFmt numFmtId="202" formatCode="dd.mm.yyyy"/>
    <x:numFmt numFmtId="203" formatCode="0.00"/>
    <x:numFmt numFmtId="204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2" fillId="5" borderId="0" xfId="0" applyNumberFormat="1" applyFont="1" applyFill="1" applyBorder="1"/>
    <x:xf numFmtId="201" fontId="2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2" fillId="5" borderId="1" xfId="0" applyNumberFormat="1" applyFont="1" applyFill="1" applyBorder="1"/>
    <x:xf numFmtId="201" fontId="2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202" fontId="3" fillId="6" borderId="0" xfId="0" applyNumberFormat="1" applyFont="1" applyFill="1" applyBorder="1"/>
    <x:xf numFmtId="202" fontId="3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200" fontId="0" fillId="5" borderId="0" xfId="0" applyNumberFormat="1" applyFont="1" applyFill="1" applyBorder="1"/>
    <x:xf numFmtId="204" fontId="0" fillId="5" borderId="0" xfId="0" applyNumberFormat="1" applyFont="1" applyFill="1" applyBorder="1"/>
    <x:xf numFmtId="200" fontId="2" fillId="5" borderId="0" xfId="0" applyNumberFormat="1" applyFont="1" applyFill="1" applyBorder="1"/>
    <x:xf numFmtId="204" fontId="2" fillId="5" borderId="0" xfId="0" applyNumberFormat="1" applyFont="1" applyFill="1" applyBorder="1"/>
    <x:xf numFmtId="200" fontId="0" fillId="5" borderId="1" xfId="0" applyNumberFormat="1" applyFont="1" applyFill="1" applyBorder="1"/>
    <x:xf numFmtId="204" fontId="0" fillId="5" borderId="1" xfId="0" applyNumberFormat="1" applyFont="1" applyFill="1" applyBorder="1"/>
    <x:xf numFmtId="200" fontId="2" fillId="5" borderId="1" xfId="0" applyNumberFormat="1" applyFont="1" applyFill="1" applyBorder="1"/>
    <x:xf numFmtId="204" fontId="2" fillId="5" borderId="1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6377e0f6d45e9" /><Relationship Type="http://schemas.openxmlformats.org/officeDocument/2006/relationships/theme" Target="/xl/theme/theme1.xml" Id="R2e67d7a067664632" /><Relationship Type="http://schemas.openxmlformats.org/officeDocument/2006/relationships/sharedStrings" Target="/xl/sharedStrings.xml" Id="R902b572165b04f05" /><Relationship Type="http://schemas.openxmlformats.org/officeDocument/2006/relationships/worksheet" Target="/xl/worksheets/sheet1.xml" Id="Rae2f18509a3a4be3" /><Relationship Type="http://schemas.openxmlformats.org/officeDocument/2006/relationships/worksheet" Target="/xl/worksheets/sheet2.xml" Id="Rc504003d633a479f" /><Relationship Type="http://schemas.openxmlformats.org/officeDocument/2006/relationships/worksheet" Target="/xl/worksheets/sheet3.xml" Id="R51397c9ce274417e" /><Relationship Type="http://schemas.openxmlformats.org/officeDocument/2006/relationships/worksheet" Target="/xl/worksheets/sheet4.xml" Id="Rdb659bc765444898" /><Relationship Type="http://schemas.openxmlformats.org/officeDocument/2006/relationships/worksheet" Target="/xl/worksheets/sheet5.xml" Id="Rcaf78fd7c7064376" /><Relationship Type="http://schemas.openxmlformats.org/officeDocument/2006/relationships/worksheet" Target="/xl/worksheets/sheet6.xml" Id="Rb7ad5cbc7c15434b" /><Relationship Type="http://schemas.openxmlformats.org/officeDocument/2006/relationships/worksheet" Target="/xl/worksheets/sheet7.xml" Id="R30917c6fd1994d30" /><Relationship Type="http://schemas.openxmlformats.org/officeDocument/2006/relationships/worksheet" Target="/xl/worksheets/sheet8.xml" Id="R16cb2dfb5fc648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0bb684824b34d9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960790af8d4aa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ffb816f72e94c7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Faktisk</c:v>
          </c:tx>
          <c:cat>
            <c:strRef>
              <c:f>'Redigerbar_graf'!$A$4:$A$31</c:f>
              <c:strCache>
                <c:ptCount val="0"/>
              </c:strCache>
            </c:strRef>
          </c:cat>
          <c:val>
            <c:numRef>
              <c:f>'Redigerbar_graf'!$B$4:$B$31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Fremskrevet</c:v>
          </c:tx>
          <c:cat>
            <c:strRef>
              <c:f>'Redigerbar_graf'!$A$4:$A$31</c:f>
              <c:strCache>
                <c:ptCount val="0"/>
              </c:strCache>
            </c:strRef>
          </c:cat>
          <c:val>
            <c:numRef>
              <c:f>'Redigerbar_graf'!$C$4:$C$31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Ændring</c:v>
          </c:tx>
          <c:cat>
            <c:strRef>
              <c:f>'Kategori_overblik'!$A$4:$A$13</c:f>
              <c:strCache>
                <c:ptCount val="0"/>
              </c:strCache>
            </c:strRef>
          </c:cat>
          <c:val>
            <c:numRef>
              <c:f>'Kategori_overblik'!$E$4:$E$13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3049250" cy="5334000"/>
    <xdr:pic>
      <xdr:nvPicPr>
        <xdr:cNvPr id="1" name="907d9df9-65f6-4c75-be98-39fb7907d7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bb684824b34d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5</xdr:col>
      <xdr:colOff>0</xdr:colOff>
      <xdr:row>2</xdr:row>
      <xdr:rowOff>0</xdr:rowOff>
    </xdr:from>
    <xdr:ext cx="8191500" cy="4381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960790af8d4aa6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9</xdr:col>
      <xdr:colOff>0</xdr:colOff>
      <xdr:row>2</xdr:row>
      <xdr:rowOff>0</xdr:rowOff>
    </xdr:from>
    <xdr:ext cx="7429500" cy="4286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fb816f72e94c76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HistoriskData2022Table" displayName="HistoriskData2022Table" ref="A3:X25" headerRowCount="1">
  <x:tableColumns count="24">
    <x:tableColumn id="1" name="Medlemstype"/>
    <x:tableColumn id="2" name="Mon Jan 31 2022 00:00:00 GMT+0000 (Coordinated Universal Time)"/>
    <x:tableColumn id="3" name="Thu Mar 31 2022 00:00:00 GMT+0000 (Coordinated Universal Time)"/>
    <x:tableColumn id="4" name="Thu Jun 30 2022 00:00:00 GMT+0000 (Coordinated Universal Time)"/>
    <x:tableColumn id="5" name="Fri Sep 30 2022 00:00:00 GMT+0000 (Coordinated Universal Time)"/>
    <x:tableColumn id="6" name="Sat Dec 31 2022 00:00:00 GMT+0000 (Coordinated Universal Time)"/>
    <x:tableColumn id="7" name="Tue Jan 31 2023 00:00:00 GMT+0000 (Coordinated Universal Time)"/>
    <x:tableColumn id="8" name="Fri Mar 31 2023 00:00:00 GMT+0000 (Coordinated Universal Time)"/>
    <x:tableColumn id="9" name="Fri Jun 30 2023 00:00:00 GMT+0000 (Coordinated Universal Time)"/>
    <x:tableColumn id="10" name="Sat Sep 30 2023 00:00:00 GMT+0000 (Coordinated Universal Time)"/>
    <x:tableColumn id="11" name="Sun Dec 31 2023 00:00:00 GMT+0000 (Coordinated Universal Time)"/>
    <x:tableColumn id="12" name="Wed Jan 31 2024 00:00:00 GMT+0000 (Coordinated Universal Time)"/>
    <x:tableColumn id="13" name="Sun Mar 31 2024 00:00:00 GMT+0000 (Coordinated Universal Time)"/>
    <x:tableColumn id="14" name="Sun Jun 30 2024 00:00:00 GMT+0000 (Coordinated Universal Time)"/>
    <x:tableColumn id="15" name="Mon Sep 30 2024 00:00:00 GMT+0000 (Coordinated Universal Time)"/>
    <x:tableColumn id="16" name="Tue Dec 31 2024 00:00:00 GMT+0000 (Coordinated Universal Time)"/>
    <x:tableColumn id="17" name="Fri Jan 31 2025 00:00:00 GMT+0000 (Coordinated Universal Time)"/>
    <x:tableColumn id="18" name="Mon Mar 31 2025 00:00:00 GMT+0000 (Coordinated Universal Time)"/>
    <x:tableColumn id="19" name="Mon Jun 30 2025 00:00:00 GMT+0000 (Coordinated Universal Time)"/>
    <x:tableColumn id="20" name="Tue Sep 30 2025 00:00:00 GMT+0000 (Coordinated Universal Time)"/>
    <x:tableColumn id="21" name="Wed Dec 31 2025 00:00:00 GMT+0000 (Coordinated Universal Time)"/>
    <x:tableColumn id="22" name="Sat Jan 31 2026 00:00:00 GMT+0000 (Coordinated Universal Time)"/>
    <x:tableColumn id="23" name="Tue Mar 31 2026 00:00:00 GMT+0000 (Coordinated Universal Time)"/>
    <x:tableColumn id="24" name="Sun May 31 2026 00:00:00 GMT+0000 (Coordinated Universal Time)"/>
  </x:tableColumns>
  <x:tableStyleInfo name="TableStyleMedium2" showRowStripes="1"/>
</x:table>
</file>

<file path=xl/tables/table2.xml><?xml version="1.0" encoding="utf-8"?>
<x:table xmlns:x="http://schemas.openxmlformats.org/spreadsheetml/2006/main" id="2" name="Fremskrivning2029Med2022Table" displayName="Fremskrivning2029Med2022Table" ref="A10:M33" headerRowCount="1">
  <x:tableColumns count="13">
    <x:tableColumn id="1" name="Medlemstype"/>
    <x:tableColumn id="2" name="Startdato for beregning"/>
    <x:tableColumn id="3" name="Startværdi"/>
    <x:tableColumn id="4" name="Seneste 31.05.26"/>
    <x:tableColumn id="5" name="Årlig vækst"/>
    <x:tableColumn id="6" name="31.12.26 forventet"/>
    <x:tableColumn id="7" name="31.12.27 forventet"/>
    <x:tableColumn id="8" name="31.12.28 forventet"/>
    <x:tableColumn id="9" name="31.12.29 forventet"/>
    <x:tableColumn id="10" name="Ændring til 2029"/>
    <x:tableColumn id="11" name="Vækst til 2029"/>
    <x:tableColumn id="12" name="Andel af forventet total 2029"/>
    <x:tableColumn id="13" name="Kommentar"/>
  </x:tableColumns>
  <x:tableStyleInfo name="TableStyleMedium2" showRowStripes="1"/>
</x:table>
</file>

<file path=xl/tables/table3.xml><?xml version="1.0" encoding="utf-8"?>
<x:table xmlns:x="http://schemas.openxmlformats.org/spreadsheetml/2006/main" id="3" name="Grafdata2022Table" displayName="Grafdata2022Table" ref="A3:D31" headerRowCount="1">
  <x:tableColumns count="4">
    <x:tableColumn id="1" name="Dato"/>
    <x:tableColumn id="2" name="Faktisk"/>
    <x:tableColumn id="3" name="Fremskrevet"/>
    <x:tableColumn id="4" name="Type"/>
  </x:tableColumns>
  <x:tableStyleInfo name="TableStyleMedium2" showRowStripes="1"/>
</x:table>
</file>

<file path=xl/tables/table4.xml><?xml version="1.0" encoding="utf-8"?>
<x:table xmlns:x="http://schemas.openxmlformats.org/spreadsheetml/2006/main" id="4" name="RedigerbarGrafdata2022Table" displayName="RedigerbarGrafdata2022Table" ref="A3:D31" headerRowCount="1">
  <x:tableColumns count="4">
    <x:tableColumn id="1" name="Dato"/>
    <x:tableColumn id="2" name="Faktisk"/>
    <x:tableColumn id="3" name="Fremskrevet"/>
    <x:tableColumn id="4" name="Type"/>
  </x:tableColumns>
  <x:tableStyleInfo name="TableStyleMedium2" showRowStripes="1"/>
</x:table>
</file>

<file path=xl/tables/table5.xml><?xml version="1.0" encoding="utf-8"?>
<x:table xmlns:x="http://schemas.openxmlformats.org/spreadsheetml/2006/main" id="5" name="KategoriOverblik2022Table" displayName="KategoriOverblik2022Table" ref="A3:H24" headerRowCount="1">
  <x:tableColumns count="8">
    <x:tableColumn id="1" name="Medlemstype"/>
    <x:tableColumn id="2" name="31.05.26"/>
    <x:tableColumn id="3" name="Årlig vækst"/>
    <x:tableColumn id="4" name="31.12.29 forventet"/>
    <x:tableColumn id="5" name="Ændring"/>
    <x:tableColumn id="6" name="Vækst %"/>
    <x:tableColumn id="7" name="Andel af 2029-total"/>
    <x:tableColumn id="8" name="Kommentar"/>
  </x:tableColumns>
  <x:tableStyleInfo name="TableStyleMedium2" showRowStripes="1"/>
</x:table>
</file>

<file path=xl/tables/table6.xml><?xml version="1.0" encoding="utf-8"?>
<x:table xmlns:x="http://schemas.openxmlformats.org/spreadsheetml/2006/main" id="6" name="Datatjek2022Table" displayName="Datatjek2022Table" ref="A3:E26" headerRowCount="1">
  <x:tableColumns count="5">
    <x:tableColumn id="1" name="Dato"/>
    <x:tableColumn id="2" name="Sum af kategorier"/>
    <x:tableColumn id="3" name="Total ifølge totalrækken"/>
    <x:tableColumn id="4" name="Difference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49a44dd21249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0fec6ff7b446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8112e9f87f4f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71847298a164b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340f3894940e4386" /><Relationship Type="http://schemas.openxmlformats.org/officeDocument/2006/relationships/table" Target="/xl/tables/table4.xml" Id="R63855d70987f4c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1871c03ca7e14919" /><Relationship Type="http://schemas.openxmlformats.org/officeDocument/2006/relationships/table" Target="/xl/tables/table5.xml" Id="Rb741bac047d148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a31968b3da045b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 ht="24" customHeight="1">
      <x:c r="A1" s="5" t="str">
        <x:v>Medlemsudvikling 2022-2029 med fremskrivning</x:v>
      </x:c>
    </x:row>
    <x:row r="3">
      <x:c r="A3" s="14" t="str">
        <x:v>Ark</x:v>
      </x:c>
      <x:c r="B3" s="14" t="str">
        <x:v>Indhold</x:v>
      </x:c>
    </x:row>
    <x:row r="4">
      <x:c r="A4" t="str">
        <x:v>Graf_alle</x:v>
      </x:c>
      <x:c r="B4" t="str">
        <x:v>Figur i stil med dit eksempel, nu med 2022 og fremskrivning til 2029.</x:v>
      </x:c>
    </x:row>
    <x:row r="5">
      <x:c r="A5" t="str">
        <x:v>Redigerbar_graf</x:v>
      </x:c>
      <x:c r="B5" t="str">
        <x:v>Redigerbar Excel-graf med faktisk udvikling og fremskrevet udvikling.</x:v>
      </x:c>
    </x:row>
    <x:row r="6">
      <x:c r="A6" t="str">
        <x:v>Historisk_data</x:v>
      </x:c>
      <x:c r="B6" t="str">
        <x:v>Hele datagrundlaget fra 31.01.22 til 31.05.26.</x:v>
      </x:c>
    </x:row>
    <x:row r="7">
      <x:c r="A7" t="str">
        <x:v>Fremskrivning_2029</x:v>
      </x:c>
      <x:c r="B7" t="str">
        <x:v>Formelbaseret fremskrivning for alle kategorier og totalen til 2029.</x:v>
      </x:c>
    </x:row>
    <x:row r="8">
      <x:c r="A8" t="str">
        <x:v>Grafdata</x:v>
      </x:c>
      <x:c r="B8" t="str">
        <x:v>Datagrundlaget bag totalgrafen.</x:v>
      </x:c>
    </x:row>
    <x:row r="9">
      <x:c r="A9" t="str">
        <x:v>Kategori_overblik</x:v>
      </x:c>
      <x:c r="B9" t="str">
        <x:v>Rangeret oversigt over forventet vækst og ændring pr. kategori.</x:v>
      </x:c>
    </x:row>
    <x:row r="10">
      <x:c r="A10" t="str">
        <x:v>Datatjek</x:v>
      </x:c>
      <x:c r="B10" t="str">
        <x:v>Kontrol af, at historiske kategorier summerer til totalrækken.</x:v>
      </x:c>
    </x:row>
    <x:row r="11">
      <x:c r="A11" s="21" t="str">
        <x:v>Metode</x:v>
      </x:c>
      <x:c r="B11" s="21" t="str">
        <x:v>Totalen fremskrives med gennemsnitlig årlig vækst fra 31.01.22 til 31.05.26.</x:v>
      </x:c>
    </x:row>
    <x:row r="12">
      <x:c r="A12" s="21" t="str">
        <x:v>Kategori-metode</x:v>
      </x:c>
      <x:c r="B12" s="21" t="str">
        <x:v>Kategorier fremskrives med egen historisk vækst. Pensionist DP og Pensionist DP - Udland bruger 31.12.22 som start pga. tydeligt databrud i 2022.</x:v>
      </x:c>
    </x:row>
    <x:row r="13">
      <x:c r="A13" s="21" t="str">
        <x:v>Forbehold</x:v>
      </x:c>
      <x:c r="B13" s="21" t="str">
        <x:v>Små kategorier og kategorier med nulværdi bør fortolkes varsomt.</x:v>
      </x:c>
    </x:row>
    <x:row r="14">
      <x:c r="A14" s="21" t="str">
        <x:v>Fremskrivning</x:v>
      </x:c>
      <x:c r="B14" s="21" t="str">
        <x:v>31.12.26, 31.12.27, 31.12.28 og 31.12.29 er beregnede værdier.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</x:cols>
  <x:sheetData>
    <x:row r="1" ht="24" customHeight="1">
      <x:c r="A1" s="5" t="str">
        <x:v>Historiske data 31.01.22-31.05.26</x:v>
      </x:c>
    </x:row>
    <x:row r="3">
      <x:c r="A3" s="14" t="str">
        <x:v>Medlemstype</x:v>
      </x:c>
      <x:c r="B3" s="24" t="n">
        <x:v>44592</x:v>
      </x:c>
      <x:c r="C3" s="24" t="n">
        <x:v>44651</x:v>
      </x:c>
      <x:c r="D3" s="24" t="n">
        <x:v>44742</x:v>
      </x:c>
      <x:c r="E3" s="24" t="n">
        <x:v>44834</x:v>
      </x:c>
      <x:c r="F3" s="24" t="n">
        <x:v>44926</x:v>
      </x:c>
      <x:c r="G3" s="24" t="n">
        <x:v>44957</x:v>
      </x:c>
      <x:c r="H3" s="24" t="n">
        <x:v>45016</x:v>
      </x:c>
      <x:c r="I3" s="24" t="n">
        <x:v>45107</x:v>
      </x:c>
      <x:c r="J3" s="24" t="n">
        <x:v>45199</x:v>
      </x:c>
      <x:c r="K3" s="24" t="n">
        <x:v>45291</x:v>
      </x:c>
      <x:c r="L3" s="24" t="n">
        <x:v>45322</x:v>
      </x:c>
      <x:c r="M3" s="24" t="n">
        <x:v>45382</x:v>
      </x:c>
      <x:c r="N3" s="24" t="n">
        <x:v>45473</x:v>
      </x:c>
      <x:c r="O3" s="24" t="n">
        <x:v>45565</x:v>
      </x:c>
      <x:c r="P3" s="24" t="n">
        <x:v>45657</x:v>
      </x:c>
      <x:c r="Q3" s="24" t="n">
        <x:v>45688</x:v>
      </x:c>
      <x:c r="R3" s="24" t="n">
        <x:v>45747</x:v>
      </x:c>
      <x:c r="S3" s="24" t="n">
        <x:v>45838</x:v>
      </x:c>
      <x:c r="T3" s="24" t="n">
        <x:v>45930</x:v>
      </x:c>
      <x:c r="U3" s="24" t="n">
        <x:v>46022</x:v>
      </x:c>
      <x:c r="V3" s="24" t="n">
        <x:v>46053</x:v>
      </x:c>
      <x:c r="W3" s="24" t="n">
        <x:v>46112</x:v>
      </x:c>
      <x:c r="X3" s="24" t="n">
        <x:v>46173</x:v>
      </x:c>
    </x:row>
    <x:row r="4">
      <x:c r="A4" t="str">
        <x:v>Normaltansat over 19 timer</x:v>
      </x:c>
      <x:c r="B4" s="26" t="n">
        <x:v>5306</x:v>
      </x:c>
      <x:c r="C4" s="26" t="n">
        <x:v>5279</x:v>
      </x:c>
      <x:c r="D4" s="26" t="n">
        <x:v>5224</x:v>
      </x:c>
      <x:c r="E4" s="26" t="n">
        <x:v>5305</x:v>
      </x:c>
      <x:c r="F4" s="26" t="n">
        <x:v>5238</x:v>
      </x:c>
      <x:c r="G4" s="26" t="n">
        <x:v>5204</x:v>
      </x:c>
      <x:c r="H4" s="26" t="n">
        <x:v>5239</x:v>
      </x:c>
      <x:c r="I4" s="26" t="n">
        <x:v>5280</x:v>
      </x:c>
      <x:c r="J4" s="26" t="n">
        <x:v>5452</x:v>
      </x:c>
      <x:c r="K4" s="26" t="n">
        <x:v>5418</x:v>
      </x:c>
      <x:c r="L4" s="26" t="n">
        <x:v>5411</x:v>
      </x:c>
      <x:c r="M4" s="26" t="n">
        <x:v>5437</x:v>
      </x:c>
      <x:c r="N4" s="26" t="n">
        <x:v>5423</x:v>
      </x:c>
      <x:c r="O4" s="26" t="n">
        <x:v>5564</x:v>
      </x:c>
      <x:c r="P4" s="26" t="n">
        <x:v>5584</x:v>
      </x:c>
      <x:c r="Q4" s="26" t="n">
        <x:v>5577</x:v>
      </x:c>
      <x:c r="R4" s="26" t="n">
        <x:v>5646</x:v>
      </x:c>
      <x:c r="S4" s="26" t="n">
        <x:v>5650</x:v>
      </x:c>
      <x:c r="T4" s="26" t="n">
        <x:v>5820</x:v>
      </x:c>
      <x:c r="U4" s="26" t="n">
        <x:v>5826</x:v>
      </x:c>
      <x:c r="V4" s="26" t="n">
        <x:v>5847</x:v>
      </x:c>
      <x:c r="W4" s="26" t="n">
        <x:v>5899</x:v>
      </x:c>
      <x:c r="X4" s="26" t="n">
        <x:v>5896</x:v>
      </x:c>
    </x:row>
    <x:row r="5">
      <x:c r="A5" t="str">
        <x:v>Psykologistuderende</x:v>
      </x:c>
      <x:c r="B5" s="26" t="n">
        <x:v>373</x:v>
      </x:c>
      <x:c r="C5" s="26" t="n">
        <x:v>305</x:v>
      </x:c>
      <x:c r="D5" s="26" t="n">
        <x:v>286</x:v>
      </x:c>
      <x:c r="E5" s="26" t="n">
        <x:v>60</x:v>
      </x:c>
      <x:c r="F5" s="26" t="n">
        <x:v>13</x:v>
      </x:c>
      <x:c r="G5" s="26" t="n">
        <x:v>0</x:v>
      </x:c>
      <x:c r="H5" s="26" t="n">
        <x:v>0</x:v>
      </x:c>
      <x:c r="I5" s="26" t="n">
        <x:v>0</x:v>
      </x:c>
      <x:c r="J5" s="26" t="n">
        <x:v>0</x:v>
      </x:c>
      <x:c r="K5" s="26" t="n">
        <x:v>0</x:v>
      </x:c>
      <x:c r="L5" s="26" t="n">
        <x:v>0</x:v>
      </x:c>
      <x:c r="M5" s="26" t="n">
        <x:v>0</x:v>
      </x:c>
      <x:c r="N5" s="26" t="n">
        <x:v>0</x:v>
      </x:c>
      <x:c r="O5" s="26" t="n">
        <x:v>0</x:v>
      </x:c>
      <x:c r="P5" s="26" t="n">
        <x:v>1</x:v>
      </x:c>
      <x:c r="Q5" s="26" t="n">
        <x:v>1</x:v>
      </x:c>
      <x:c r="R5" s="26" t="n">
        <x:v>1</x:v>
      </x:c>
      <x:c r="S5" s="26" t="n">
        <x:v>1</x:v>
      </x:c>
      <x:c r="T5" s="26" t="n">
        <x:v>1</x:v>
      </x:c>
      <x:c r="U5" s="26" t="n">
        <x:v>1</x:v>
      </x:c>
      <x:c r="V5" s="26" t="n">
        <x:v>1</x:v>
      </x:c>
      <x:c r="W5" s="26" t="n">
        <x:v>0</x:v>
      </x:c>
      <x:c r="X5" s="26" t="n">
        <x:v>0</x:v>
      </x:c>
    </x:row>
    <x:row r="6">
      <x:c r="A6" t="str">
        <x:v>Pensionist DP - Udland</x:v>
      </x:c>
      <x:c r="B6" s="26" t="n">
        <x:v>1083</x:v>
      </x:c>
      <x:c r="C6" s="26" t="n">
        <x:v>1088</x:v>
      </x:c>
      <x:c r="D6" s="26" t="n">
        <x:v>1083</x:v>
      </x:c>
      <x:c r="E6" s="26" t="n">
        <x:v>1084</x:v>
      </x:c>
      <x:c r="F6" s="26" t="n">
        <x:v>9</x:v>
      </x:c>
      <x:c r="G6" s="26" t="n">
        <x:v>9</x:v>
      </x:c>
      <x:c r="H6" s="26" t="n">
        <x:v>9</x:v>
      </x:c>
      <x:c r="I6" s="26" t="n">
        <x:v>9</x:v>
      </x:c>
      <x:c r="J6" s="26" t="n">
        <x:v>10</x:v>
      </x:c>
      <x:c r="K6" s="26" t="n">
        <x:v>11</x:v>
      </x:c>
      <x:c r="L6" s="26" t="n">
        <x:v>11</x:v>
      </x:c>
      <x:c r="M6" s="26" t="n">
        <x:v>11</x:v>
      </x:c>
      <x:c r="N6" s="26" t="n">
        <x:v>13</x:v>
      </x:c>
      <x:c r="O6" s="26" t="n">
        <x:v>15</x:v>
      </x:c>
      <x:c r="P6" s="26" t="n">
        <x:v>15</x:v>
      </x:c>
      <x:c r="Q6" s="26" t="n">
        <x:v>16</x:v>
      </x:c>
      <x:c r="R6" s="26" t="n">
        <x:v>20</x:v>
      </x:c>
      <x:c r="S6" s="26" t="n">
        <x:v>21</x:v>
      </x:c>
      <x:c r="T6" s="26" t="n">
        <x:v>20</x:v>
      </x:c>
      <x:c r="U6" s="26" t="n">
        <x:v>19</x:v>
      </x:c>
      <x:c r="V6" s="26" t="n">
        <x:v>18</x:v>
      </x:c>
      <x:c r="W6" s="26" t="n">
        <x:v>18</x:v>
      </x:c>
      <x:c r="X6" s="26" t="n">
        <x:v>18</x:v>
      </x:c>
    </x:row>
    <x:row r="7">
      <x:c r="A7" t="str">
        <x:v>Ledig DP</x:v>
      </x:c>
      <x:c r="B7" s="26" t="n">
        <x:v>411</x:v>
      </x:c>
      <x:c r="C7" s="26" t="n">
        <x:v>409</x:v>
      </x:c>
      <x:c r="D7" s="26" t="n">
        <x:v>381</x:v>
      </x:c>
      <x:c r="E7" s="26" t="n">
        <x:v>507</x:v>
      </x:c>
      <x:c r="F7" s="26" t="n">
        <x:v>423</x:v>
      </x:c>
      <x:c r="G7" s="26" t="n">
        <x:v>403</x:v>
      </x:c>
      <x:c r="H7" s="26" t="n">
        <x:v>423</x:v>
      </x:c>
      <x:c r="I7" s="26" t="n">
        <x:v>390</x:v>
      </x:c>
      <x:c r="J7" s="26" t="n">
        <x:v>477</x:v>
      </x:c>
      <x:c r="K7" s="26" t="n">
        <x:v>412</x:v>
      </x:c>
      <x:c r="L7" s="26" t="n">
        <x:v>403</x:v>
      </x:c>
      <x:c r="M7" s="26" t="n">
        <x:v>429</x:v>
      </x:c>
      <x:c r="N7" s="26" t="n">
        <x:v>414</x:v>
      </x:c>
      <x:c r="O7" s="26" t="n">
        <x:v>462</x:v>
      </x:c>
      <x:c r="P7" s="26" t="n">
        <x:v>441</x:v>
      </x:c>
      <x:c r="Q7" s="26" t="n">
        <x:v>431</x:v>
      </x:c>
      <x:c r="R7" s="26" t="n">
        <x:v>447</x:v>
      </x:c>
      <x:c r="S7" s="26" t="n">
        <x:v>405</x:v>
      </x:c>
      <x:c r="T7" s="26" t="n">
        <x:v>405</x:v>
      </x:c>
      <x:c r="U7" s="26" t="n">
        <x:v>394</x:v>
      </x:c>
      <x:c r="V7" s="26" t="n">
        <x:v>379</x:v>
      </x:c>
      <x:c r="W7" s="26" t="n">
        <x:v>383</x:v>
      </x:c>
      <x:c r="X7" s="26" t="n">
        <x:v>367</x:v>
      </x:c>
    </x:row>
    <x:row r="8">
      <x:c r="A8" t="str">
        <x:v>1 og 2 års Kandidater</x:v>
      </x:c>
      <x:c r="B8" s="26" t="n">
        <x:v>461</x:v>
      </x:c>
      <x:c r="C8" s="26" t="n">
        <x:v>512</x:v>
      </x:c>
      <x:c r="D8" s="26" t="n">
        <x:v>527</x:v>
      </x:c>
      <x:c r="E8" s="26" t="n">
        <x:v>519</x:v>
      </x:c>
      <x:c r="F8" s="26" t="n">
        <x:v>545</x:v>
      </x:c>
      <x:c r="G8" s="26" t="n">
        <x:v>582</x:v>
      </x:c>
      <x:c r="H8" s="26" t="n">
        <x:v>570</x:v>
      </x:c>
      <x:c r="I8" s="26" t="n">
        <x:v>591</x:v>
      </x:c>
      <x:c r="J8" s="26" t="n">
        <x:v>484</x:v>
      </x:c>
      <x:c r="K8" s="26" t="n">
        <x:v>532</x:v>
      </x:c>
      <x:c r="L8" s="26" t="n">
        <x:v>546</x:v>
      </x:c>
      <x:c r="M8" s="26" t="n">
        <x:v>557</x:v>
      </x:c>
      <x:c r="N8" s="26" t="n">
        <x:v>596</x:v>
      </x:c>
      <x:c r="O8" s="26" t="n">
        <x:v>554</x:v>
      </x:c>
      <x:c r="P8" s="26" t="n">
        <x:v>628</x:v>
      </x:c>
      <x:c r="Q8" s="26" t="n">
        <x:v>666</x:v>
      </x:c>
      <x:c r="R8" s="26" t="n">
        <x:v>643</x:v>
      </x:c>
      <x:c r="S8" s="26" t="n">
        <x:v>711</x:v>
      </x:c>
      <x:c r="T8" s="26" t="n">
        <x:v>600</x:v>
      </x:c>
      <x:c r="U8" s="26" t="n">
        <x:v>884</x:v>
      </x:c>
      <x:c r="V8" s="26" t="n">
        <x:v>880</x:v>
      </x:c>
      <x:c r="W8" s="26" t="n">
        <x:v>795</x:v>
      </x:c>
      <x:c r="X8" s="26" t="n">
        <x:v>898</x:v>
      </x:c>
    </x:row>
    <x:row r="9">
      <x:c r="A9" t="str">
        <x:v>Selvstændig</x:v>
      </x:c>
      <x:c r="B9" s="26" t="n">
        <x:v>2210</x:v>
      </x:c>
      <x:c r="C9" s="26" t="n">
        <x:v>2238</x:v>
      </x:c>
      <x:c r="D9" s="26" t="n">
        <x:v>2257</x:v>
      </x:c>
      <x:c r="E9" s="26" t="n">
        <x:v>2292</x:v>
      </x:c>
      <x:c r="F9" s="26" t="n">
        <x:v>2312</x:v>
      </x:c>
      <x:c r="G9" s="26" t="n">
        <x:v>2310</x:v>
      </x:c>
      <x:c r="H9" s="26" t="n">
        <x:v>2309</x:v>
      </x:c>
      <x:c r="I9" s="26" t="n">
        <x:v>2322</x:v>
      </x:c>
      <x:c r="J9" s="26" t="n">
        <x:v>2368</x:v>
      </x:c>
      <x:c r="K9" s="26" t="n">
        <x:v>2364</x:v>
      </x:c>
      <x:c r="L9" s="26" t="n">
        <x:v>2376</x:v>
      </x:c>
      <x:c r="M9" s="26" t="n">
        <x:v>2379</x:v>
      </x:c>
      <x:c r="N9" s="26" t="n">
        <x:v>2387</x:v>
      </x:c>
      <x:c r="O9" s="26" t="n">
        <x:v>2381</x:v>
      </x:c>
      <x:c r="P9" s="26" t="n">
        <x:v>2398</x:v>
      </x:c>
      <x:c r="Q9" s="26" t="n">
        <x:v>2387</x:v>
      </x:c>
      <x:c r="R9" s="26" t="n">
        <x:v>2401</x:v>
      </x:c>
      <x:c r="S9" s="26" t="n">
        <x:v>2423</x:v>
      </x:c>
      <x:c r="T9" s="26" t="n">
        <x:v>2464</x:v>
      </x:c>
      <x:c r="U9" s="26" t="n">
        <x:v>2481</x:v>
      </x:c>
      <x:c r="V9" s="26" t="n">
        <x:v>2468</x:v>
      </x:c>
      <x:c r="W9" s="26" t="n">
        <x:v>2527</x:v>
      </x:c>
      <x:c r="X9" s="26" t="n">
        <x:v>2551</x:v>
      </x:c>
    </x:row>
    <x:row r="10">
      <x:c r="A10" t="str">
        <x:v>Studerende DP</x:v>
      </x:c>
      <x:c r="B10" s="26" t="n">
        <x:v>1213</x:v>
      </x:c>
      <x:c r="C10" s="26" t="n">
        <x:v>1230</x:v>
      </x:c>
      <x:c r="D10" s="26" t="n">
        <x:v>1256</x:v>
      </x:c>
      <x:c r="E10" s="26" t="n">
        <x:v>1319</x:v>
      </x:c>
      <x:c r="F10" s="26" t="n">
        <x:v>1438</x:v>
      </x:c>
      <x:c r="G10" s="26" t="n">
        <x:v>1431</x:v>
      </x:c>
      <x:c r="H10" s="26" t="n">
        <x:v>1402</x:v>
      </x:c>
      <x:c r="I10" s="26" t="n">
        <x:v>1416</x:v>
      </x:c>
      <x:c r="J10" s="26" t="n">
        <x:v>1567</x:v>
      </x:c>
      <x:c r="K10" s="26" t="n">
        <x:v>1624</x:v>
      </x:c>
      <x:c r="L10" s="26" t="n">
        <x:v>1624</x:v>
      </x:c>
      <x:c r="M10" s="26" t="n">
        <x:v>1567</x:v>
      </x:c>
      <x:c r="N10" s="26" t="n">
        <x:v>1588</x:v>
      </x:c>
      <x:c r="O10" s="26" t="n">
        <x:v>1903</x:v>
      </x:c>
      <x:c r="P10" s="26" t="n">
        <x:v>1938</x:v>
      </x:c>
      <x:c r="Q10" s="26" t="n">
        <x:v>1899</x:v>
      </x:c>
      <x:c r="R10" s="26" t="n">
        <x:v>1877</x:v>
      </x:c>
      <x:c r="S10" s="26" t="n">
        <x:v>1870</x:v>
      </x:c>
      <x:c r="T10" s="26" t="n">
        <x:v>2154</x:v>
      </x:c>
      <x:c r="U10" s="26" t="n">
        <x:v>1995</x:v>
      </x:c>
      <x:c r="V10" s="26" t="n">
        <x:v>1952</x:v>
      </x:c>
      <x:c r="W10" s="26" t="n">
        <x:v>1936</x:v>
      </x:c>
      <x:c r="X10" s="26" t="n">
        <x:v>1887</x:v>
      </x:c>
    </x:row>
    <x:row r="11">
      <x:c r="A11" t="str">
        <x:v>Ph.d. studerende</x:v>
      </x:c>
      <x:c r="B11" s="26" t="n">
        <x:v>60</x:v>
      </x:c>
      <x:c r="C11" s="26" t="n">
        <x:v>56</x:v>
      </x:c>
      <x:c r="D11" s="26" t="n">
        <x:v>55</x:v>
      </x:c>
      <x:c r="E11" s="26" t="n">
        <x:v>54</x:v>
      </x:c>
      <x:c r="F11" s="26" t="n">
        <x:v>53</x:v>
      </x:c>
      <x:c r="G11" s="26" t="n">
        <x:v>51</x:v>
      </x:c>
      <x:c r="H11" s="26" t="n">
        <x:v>51</x:v>
      </x:c>
      <x:c r="I11" s="26" t="n">
        <x:v>51</x:v>
      </x:c>
      <x:c r="J11" s="26" t="n">
        <x:v>50</x:v>
      </x:c>
      <x:c r="K11" s="26" t="n">
        <x:v>48</x:v>
      </x:c>
      <x:c r="L11" s="26" t="n">
        <x:v>46</x:v>
      </x:c>
      <x:c r="M11" s="26" t="n">
        <x:v>46</x:v>
      </x:c>
      <x:c r="N11" s="26" t="n">
        <x:v>46</x:v>
      </x:c>
      <x:c r="O11" s="26" t="n">
        <x:v>45</x:v>
      </x:c>
      <x:c r="P11" s="26" t="n">
        <x:v>48</x:v>
      </x:c>
      <x:c r="Q11" s="26" t="n">
        <x:v>45</x:v>
      </x:c>
      <x:c r="R11" s="26" t="n">
        <x:v>46</x:v>
      </x:c>
      <x:c r="S11" s="26" t="n">
        <x:v>47</x:v>
      </x:c>
      <x:c r="T11" s="26" t="n">
        <x:v>51</x:v>
      </x:c>
      <x:c r="U11" s="26" t="n">
        <x:v>50</x:v>
      </x:c>
      <x:c r="V11" s="26" t="n">
        <x:v>51</x:v>
      </x:c>
      <x:c r="W11" s="26" t="n">
        <x:v>47</x:v>
      </x:c>
      <x:c r="X11" s="26" t="n">
        <x:v>47</x:v>
      </x:c>
    </x:row>
    <x:row r="12">
      <x:c r="A12" t="str">
        <x:v>Orlov uden løn DP</x:v>
      </x:c>
      <x:c r="B12" s="26" t="n">
        <x:v>83</x:v>
      </x:c>
      <x:c r="C12" s="26" t="n">
        <x:v>93</x:v>
      </x:c>
      <x:c r="D12" s="26" t="n">
        <x:v>104</x:v>
      </x:c>
      <x:c r="E12" s="26" t="n">
        <x:v>97</x:v>
      </x:c>
      <x:c r="F12" s="26" t="n">
        <x:v>96</x:v>
      </x:c>
      <x:c r="G12" s="26" t="n">
        <x:v>121</x:v>
      </x:c>
      <x:c r="H12" s="26" t="n">
        <x:v>114</x:v>
      </x:c>
      <x:c r="I12" s="26" t="n">
        <x:v>88</x:v>
      </x:c>
      <x:c r="J12" s="26" t="n">
        <x:v>73</x:v>
      </x:c>
      <x:c r="K12" s="26" t="n">
        <x:v>83</x:v>
      </x:c>
      <x:c r="L12" s="26" t="n">
        <x:v>78</x:v>
      </x:c>
      <x:c r="M12" s="26" t="n">
        <x:v>74</x:v>
      </x:c>
      <x:c r="N12" s="26" t="n">
        <x:v>69</x:v>
      </x:c>
      <x:c r="O12" s="26" t="n">
        <x:v>52</x:v>
      </x:c>
      <x:c r="P12" s="26" t="n">
        <x:v>40</x:v>
      </x:c>
      <x:c r="Q12" s="26" t="n">
        <x:v>44</x:v>
      </x:c>
      <x:c r="R12" s="26" t="n">
        <x:v>48</x:v>
      </x:c>
      <x:c r="S12" s="26" t="n">
        <x:v>42</x:v>
      </x:c>
      <x:c r="T12" s="26" t="n">
        <x:v>39</x:v>
      </x:c>
      <x:c r="U12" s="26" t="n">
        <x:v>58</x:v>
      </x:c>
      <x:c r="V12" s="26" t="n">
        <x:v>65</x:v>
      </x:c>
      <x:c r="W12" s="26" t="n">
        <x:v>76</x:v>
      </x:c>
      <x:c r="X12" s="26" t="n">
        <x:v>66</x:v>
      </x:c>
    </x:row>
    <x:row r="13">
      <x:c r="A13" t="str">
        <x:v>Udland DP</x:v>
      </x:c>
      <x:c r="B13" s="26" t="n">
        <x:v>67</x:v>
      </x:c>
      <x:c r="C13" s="26" t="n">
        <x:v>68</x:v>
      </x:c>
      <x:c r="D13" s="26" t="n">
        <x:v>67</x:v>
      </x:c>
      <x:c r="E13" s="26" t="n">
        <x:v>66</x:v>
      </x:c>
      <x:c r="F13" s="26" t="n">
        <x:v>60</x:v>
      </x:c>
      <x:c r="G13" s="26" t="n">
        <x:v>60</x:v>
      </x:c>
      <x:c r="H13" s="26" t="n">
        <x:v>57</x:v>
      </x:c>
      <x:c r="I13" s="26" t="n">
        <x:v>55</x:v>
      </x:c>
      <x:c r="J13" s="26" t="n">
        <x:v>58</x:v>
      </x:c>
      <x:c r="K13" s="26" t="n">
        <x:v>55</x:v>
      </x:c>
      <x:c r="L13" s="26" t="n">
        <x:v>54</x:v>
      </x:c>
      <x:c r="M13" s="26" t="n">
        <x:v>56</x:v>
      </x:c>
      <x:c r="N13" s="26" t="n">
        <x:v>59</x:v>
      </x:c>
      <x:c r="O13" s="26" t="n">
        <x:v>58</x:v>
      </x:c>
      <x:c r="P13" s="26" t="n">
        <x:v>64</x:v>
      </x:c>
      <x:c r="Q13" s="26" t="n">
        <x:v>62</x:v>
      </x:c>
      <x:c r="R13" s="26" t="n">
        <x:v>62</x:v>
      </x:c>
      <x:c r="S13" s="26" t="n">
        <x:v>58</x:v>
      </x:c>
      <x:c r="T13" s="26" t="n">
        <x:v>55</x:v>
      </x:c>
      <x:c r="U13" s="26" t="n">
        <x:v>53</x:v>
      </x:c>
      <x:c r="V13" s="26" t="n">
        <x:v>51</x:v>
      </x:c>
      <x:c r="W13" s="26" t="n">
        <x:v>51</x:v>
      </x:c>
      <x:c r="X13" s="26" t="n">
        <x:v>49</x:v>
      </x:c>
    </x:row>
    <x:row r="14">
      <x:c r="A14" t="str">
        <x:v>Anden forhandlingsret</x:v>
      </x:c>
      <x:c r="B14" s="26" t="n">
        <x:v>30</x:v>
      </x:c>
      <x:c r="C14" s="26" t="n">
        <x:v>30</x:v>
      </x:c>
      <x:c r="D14" s="26" t="n">
        <x:v>29</x:v>
      </x:c>
      <x:c r="E14" s="26" t="n">
        <x:v>27</x:v>
      </x:c>
      <x:c r="F14" s="26" t="n">
        <x:v>29</x:v>
      </x:c>
      <x:c r="G14" s="26" t="n">
        <x:v>28</x:v>
      </x:c>
      <x:c r="H14" s="26" t="n">
        <x:v>28</x:v>
      </x:c>
      <x:c r="I14" s="26" t="n">
        <x:v>27</x:v>
      </x:c>
      <x:c r="J14" s="26" t="n">
        <x:v>27</x:v>
      </x:c>
      <x:c r="K14" s="26" t="n">
        <x:v>26</x:v>
      </x:c>
      <x:c r="L14" s="26" t="n">
        <x:v>24</x:v>
      </x:c>
      <x:c r="M14" s="26" t="n">
        <x:v>24</x:v>
      </x:c>
      <x:c r="N14" s="26" t="n">
        <x:v>23</x:v>
      </x:c>
      <x:c r="O14" s="26" t="n">
        <x:v>24</x:v>
      </x:c>
      <x:c r="P14" s="26" t="n">
        <x:v>23</x:v>
      </x:c>
      <x:c r="Q14" s="26" t="n">
        <x:v>23</x:v>
      </x:c>
      <x:c r="R14" s="26" t="n">
        <x:v>22</x:v>
      </x:c>
      <x:c r="S14" s="26" t="n">
        <x:v>25</x:v>
      </x:c>
      <x:c r="T14" s="26" t="n">
        <x:v>25</x:v>
      </x:c>
      <x:c r="U14" s="26" t="n">
        <x:v>28</x:v>
      </x:c>
      <x:c r="V14" s="26" t="n">
        <x:v>28</x:v>
      </x:c>
      <x:c r="W14" s="26" t="n">
        <x:v>27</x:v>
      </x:c>
      <x:c r="X14" s="26" t="n">
        <x:v>27</x:v>
      </x:c>
    </x:row>
    <x:row r="15">
      <x:c r="A15" t="str">
        <x:v>Efterløn DP</x:v>
      </x:c>
      <x:c r="B15" s="26" t="n">
        <x:v>24</x:v>
      </x:c>
      <x:c r="C15" s="26" t="n">
        <x:v>24</x:v>
      </x:c>
      <x:c r="D15" s="26" t="n">
        <x:v>25</x:v>
      </x:c>
      <x:c r="E15" s="26" t="n">
        <x:v>26</x:v>
      </x:c>
      <x:c r="F15" s="26" t="n">
        <x:v>25</x:v>
      </x:c>
      <x:c r="G15" s="26" t="n">
        <x:v>26</x:v>
      </x:c>
      <x:c r="H15" s="26" t="n">
        <x:v>23</x:v>
      </x:c>
      <x:c r="I15" s="26" t="n">
        <x:v>21</x:v>
      </x:c>
      <x:c r="J15" s="26" t="n">
        <x:v>20</x:v>
      </x:c>
      <x:c r="K15" s="26" t="n">
        <x:v>19</x:v>
      </x:c>
      <x:c r="L15" s="26" t="n">
        <x:v>18</x:v>
      </x:c>
      <x:c r="M15" s="26" t="n">
        <x:v>19</x:v>
      </x:c>
      <x:c r="N15" s="26" t="n">
        <x:v>17</x:v>
      </x:c>
      <x:c r="O15" s="26" t="n">
        <x:v>17</x:v>
      </x:c>
      <x:c r="P15" s="26" t="n">
        <x:v>17</x:v>
      </x:c>
      <x:c r="Q15" s="26" t="n">
        <x:v>17</x:v>
      </x:c>
      <x:c r="R15" s="26" t="n">
        <x:v>17</x:v>
      </x:c>
      <x:c r="S15" s="26" t="n">
        <x:v>16</x:v>
      </x:c>
      <x:c r="T15" s="26" t="n">
        <x:v>15</x:v>
      </x:c>
      <x:c r="U15" s="26" t="n">
        <x:v>15</x:v>
      </x:c>
      <x:c r="V15" s="26" t="n">
        <x:v>15</x:v>
      </x:c>
      <x:c r="W15" s="26" t="n">
        <x:v>15</x:v>
      </x:c>
      <x:c r="X15" s="26" t="n">
        <x:v>15</x:v>
      </x:c>
    </x:row>
    <x:row r="16">
      <x:c r="A16" t="str">
        <x:v>DLF og DLF ret</x:v>
      </x:c>
      <x:c r="B16" s="26" t="n">
        <x:v>154</x:v>
      </x:c>
      <x:c r="C16" s="26" t="n">
        <x:v>152</x:v>
      </x:c>
      <x:c r="D16" s="26" t="n">
        <x:v>150</x:v>
      </x:c>
      <x:c r="E16" s="26" t="n">
        <x:v>144</x:v>
      </x:c>
      <x:c r="F16" s="26" t="n">
        <x:v>138</x:v>
      </x:c>
      <x:c r="G16" s="26" t="n">
        <x:v>132</x:v>
      </x:c>
      <x:c r="H16" s="26" t="n">
        <x:v>133</x:v>
      </x:c>
      <x:c r="I16" s="26" t="n">
        <x:v>132</x:v>
      </x:c>
      <x:c r="J16" s="26" t="n">
        <x:v>131</x:v>
      </x:c>
      <x:c r="K16" s="26" t="n">
        <x:v>131</x:v>
      </x:c>
      <x:c r="L16" s="26" t="n">
        <x:v>127</x:v>
      </x:c>
      <x:c r="M16" s="26" t="n">
        <x:v>127</x:v>
      </x:c>
      <x:c r="N16" s="26" t="n">
        <x:v>128</x:v>
      </x:c>
      <x:c r="O16" s="26" t="n">
        <x:v>122</x:v>
      </x:c>
      <x:c r="P16" s="26" t="n">
        <x:v>122</x:v>
      </x:c>
      <x:c r="Q16" s="26" t="n">
        <x:v>120</x:v>
      </x:c>
      <x:c r="R16" s="26" t="n">
        <x:v>118</x:v>
      </x:c>
      <x:c r="S16" s="26" t="n">
        <x:v>106</x:v>
      </x:c>
      <x:c r="T16" s="26" t="n">
        <x:v>102</x:v>
      </x:c>
      <x:c r="U16" s="26" t="n">
        <x:v>101</x:v>
      </x:c>
      <x:c r="V16" s="26" t="n">
        <x:v>100</x:v>
      </x:c>
      <x:c r="W16" s="26" t="n">
        <x:v>100</x:v>
      </x:c>
      <x:c r="X16" s="26" t="n">
        <x:v>96</x:v>
      </x:c>
    </x:row>
    <x:row r="17">
      <x:c r="A17" t="str">
        <x:v>Ledig ikke ret til dagpenge</x:v>
      </x:c>
      <x:c r="B17" s="26" t="n">
        <x:v>31</x:v>
      </x:c>
      <x:c r="C17" s="26" t="n">
        <x:v>34</x:v>
      </x:c>
      <x:c r="D17" s="26" t="n">
        <x:v>37</x:v>
      </x:c>
      <x:c r="E17" s="26" t="n">
        <x:v>35</x:v>
      </x:c>
      <x:c r="F17" s="26" t="n">
        <x:v>32</x:v>
      </x:c>
      <x:c r="G17" s="26" t="n">
        <x:v>36</x:v>
      </x:c>
      <x:c r="H17" s="26" t="n">
        <x:v>37</x:v>
      </x:c>
      <x:c r="I17" s="26" t="n">
        <x:v>38</x:v>
      </x:c>
      <x:c r="J17" s="26" t="n">
        <x:v>39</x:v>
      </x:c>
      <x:c r="K17" s="26" t="n">
        <x:v>40</x:v>
      </x:c>
      <x:c r="L17" s="26" t="n">
        <x:v>39</x:v>
      </x:c>
      <x:c r="M17" s="26" t="n">
        <x:v>41</x:v>
      </x:c>
      <x:c r="N17" s="26" t="n">
        <x:v>43</x:v>
      </x:c>
      <x:c r="O17" s="26" t="n">
        <x:v>44</x:v>
      </x:c>
      <x:c r="P17" s="26" t="n">
        <x:v>50</x:v>
      </x:c>
      <x:c r="Q17" s="26" t="n">
        <x:v>52</x:v>
      </x:c>
      <x:c r="R17" s="26" t="n">
        <x:v>54</x:v>
      </x:c>
      <x:c r="S17" s="26" t="n">
        <x:v>55</x:v>
      </x:c>
      <x:c r="T17" s="26" t="n">
        <x:v>58</x:v>
      </x:c>
      <x:c r="U17" s="26" t="n">
        <x:v>60</x:v>
      </x:c>
      <x:c r="V17" s="26" t="n">
        <x:v>65</x:v>
      </x:c>
      <x:c r="W17" s="26" t="n">
        <x:v>61</x:v>
      </x:c>
      <x:c r="X17" s="26" t="n">
        <x:v>54</x:v>
      </x:c>
    </x:row>
    <x:row r="18">
      <x:c r="A18" t="str">
        <x:v>Normaltansat under 20 timer</x:v>
      </x:c>
      <x:c r="B18" s="26" t="n">
        <x:v>98</x:v>
      </x:c>
      <x:c r="C18" s="26" t="n">
        <x:v>98</x:v>
      </x:c>
      <x:c r="D18" s="26" t="n">
        <x:v>117</x:v>
      </x:c>
      <x:c r="E18" s="26" t="n">
        <x:v>121</x:v>
      </x:c>
      <x:c r="F18" s="26" t="n">
        <x:v>132</x:v>
      </x:c>
      <x:c r="G18" s="26" t="n">
        <x:v>128</x:v>
      </x:c>
      <x:c r="H18" s="26" t="n">
        <x:v>126</x:v>
      </x:c>
      <x:c r="I18" s="26" t="n">
        <x:v>122</x:v>
      </x:c>
      <x:c r="J18" s="26" t="n">
        <x:v>114</x:v>
      </x:c>
      <x:c r="K18" s="26" t="n">
        <x:v>116</x:v>
      </x:c>
      <x:c r="L18" s="26" t="n">
        <x:v>116</x:v>
      </x:c>
      <x:c r="M18" s="26" t="n">
        <x:v>112</x:v>
      </x:c>
      <x:c r="N18" s="26" t="n">
        <x:v>111</x:v>
      </x:c>
      <x:c r="O18" s="26" t="n">
        <x:v>111</x:v>
      </x:c>
      <x:c r="P18" s="26" t="n">
        <x:v>111</x:v>
      </x:c>
      <x:c r="Q18" s="26" t="n">
        <x:v>113</x:v>
      </x:c>
      <x:c r="R18" s="26" t="n">
        <x:v>115</x:v>
      </x:c>
      <x:c r="S18" s="26" t="n">
        <x:v>112</x:v>
      </x:c>
      <x:c r="T18" s="26" t="n">
        <x:v>109</x:v>
      </x:c>
      <x:c r="U18" s="26" t="n">
        <x:v>107</x:v>
      </x:c>
      <x:c r="V18" s="26" t="n">
        <x:v>107</x:v>
      </x:c>
      <x:c r="W18" s="26" t="n">
        <x:v>109</x:v>
      </x:c>
      <x:c r="X18" s="26" t="n">
        <x:v>110</x:v>
      </x:c>
    </x:row>
    <x:row r="19">
      <x:c r="A19" t="str">
        <x:v>DLF og DP ret</x:v>
      </x:c>
      <x:c r="B19" s="26" t="n">
        <x:v>52</x:v>
      </x:c>
      <x:c r="C19" s="26" t="n">
        <x:v>51</x:v>
      </x:c>
      <x:c r="D19" s="26" t="n">
        <x:v>51</x:v>
      </x:c>
      <x:c r="E19" s="26" t="n">
        <x:v>50</x:v>
      </x:c>
      <x:c r="F19" s="26" t="n">
        <x:v>50</x:v>
      </x:c>
      <x:c r="G19" s="26" t="n">
        <x:v>46</x:v>
      </x:c>
      <x:c r="H19" s="26" t="n">
        <x:v>46</x:v>
      </x:c>
      <x:c r="I19" s="26" t="n">
        <x:v>45</x:v>
      </x:c>
      <x:c r="J19" s="26" t="n">
        <x:v>45</x:v>
      </x:c>
      <x:c r="K19" s="26" t="n">
        <x:v>44</x:v>
      </x:c>
      <x:c r="L19" s="26" t="n">
        <x:v>44</x:v>
      </x:c>
      <x:c r="M19" s="26" t="n">
        <x:v>41</x:v>
      </x:c>
      <x:c r="N19" s="26" t="n">
        <x:v>40</x:v>
      </x:c>
      <x:c r="O19" s="26" t="n">
        <x:v>43</x:v>
      </x:c>
      <x:c r="P19" s="26" t="n">
        <x:v>42</x:v>
      </x:c>
      <x:c r="Q19" s="26" t="n">
        <x:v>40</x:v>
      </x:c>
      <x:c r="R19" s="26" t="n">
        <x:v>36</x:v>
      </x:c>
      <x:c r="S19" s="26" t="n">
        <x:v>34</x:v>
      </x:c>
      <x:c r="T19" s="26" t="n">
        <x:v>34</x:v>
      </x:c>
      <x:c r="U19" s="26" t="n">
        <x:v>32</x:v>
      </x:c>
      <x:c r="V19" s="26" t="n">
        <x:v>32</x:v>
      </x:c>
      <x:c r="W19" s="26" t="n">
        <x:v>32</x:v>
      </x:c>
      <x:c r="X19" s="26" t="n">
        <x:v>31</x:v>
      </x:c>
    </x:row>
    <x:row r="20">
      <x:c r="A20" t="str">
        <x:v>Med løntilskud</x:v>
      </x:c>
      <x:c r="B20" s="26" t="n">
        <x:v>17</x:v>
      </x:c>
      <x:c r="C20" s="26" t="n">
        <x:v>18</x:v>
      </x:c>
      <x:c r="D20" s="26" t="n">
        <x:v>18</x:v>
      </x:c>
      <x:c r="E20" s="26" t="n">
        <x:v>18</x:v>
      </x:c>
      <x:c r="F20" s="26" t="n">
        <x:v>18</x:v>
      </x:c>
      <x:c r="G20" s="26" t="n">
        <x:v>20</x:v>
      </x:c>
      <x:c r="H20" s="26" t="n">
        <x:v>19</x:v>
      </x:c>
      <x:c r="I20" s="26" t="n">
        <x:v>21</x:v>
      </x:c>
      <x:c r="J20" s="26" t="n">
        <x:v>21</x:v>
      </x:c>
      <x:c r="K20" s="26" t="n">
        <x:v>22</x:v>
      </x:c>
      <x:c r="L20" s="26" t="n">
        <x:v>22</x:v>
      </x:c>
      <x:c r="M20" s="26" t="n">
        <x:v>22</x:v>
      </x:c>
      <x:c r="N20" s="26" t="n">
        <x:v>20</x:v>
      </x:c>
      <x:c r="O20" s="26" t="n">
        <x:v>19</x:v>
      </x:c>
      <x:c r="P20" s="26" t="n">
        <x:v>20</x:v>
      </x:c>
      <x:c r="Q20" s="26" t="n">
        <x:v>20</x:v>
      </x:c>
      <x:c r="R20" s="26" t="n">
        <x:v>20</x:v>
      </x:c>
      <x:c r="S20" s="26" t="n">
        <x:v>20</x:v>
      </x:c>
      <x:c r="T20" s="26" t="n">
        <x:v>20</x:v>
      </x:c>
      <x:c r="U20" s="26" t="n">
        <x:v>20</x:v>
      </x:c>
      <x:c r="V20" s="26" t="n">
        <x:v>21</x:v>
      </x:c>
      <x:c r="W20" s="26" t="n">
        <x:v>21</x:v>
      </x:c>
      <x:c r="X20" s="26" t="n">
        <x:v>21</x:v>
      </x:c>
    </x:row>
    <x:row r="21">
      <x:c r="A21" t="str">
        <x:v>Pensionist DP</x:v>
      </x:c>
      <x:c r="B21" s="26" t="n">
        <x:v>12</x:v>
      </x:c>
      <x:c r="C21" s="26" t="n">
        <x:v>12</x:v>
      </x:c>
      <x:c r="D21" s="26" t="n">
        <x:v>12</x:v>
      </x:c>
      <x:c r="E21" s="26" t="n">
        <x:v>12</x:v>
      </x:c>
      <x:c r="F21" s="26" t="n">
        <x:v>1086</x:v>
      </x:c>
      <x:c r="G21" s="26" t="n">
        <x:v>1094</x:v>
      </x:c>
      <x:c r="H21" s="26" t="n">
        <x:v>1093</x:v>
      </x:c>
      <x:c r="I21" s="26" t="n">
        <x:v>1082</x:v>
      </x:c>
      <x:c r="J21" s="26" t="n">
        <x:v>1092</x:v>
      </x:c>
      <x:c r="K21" s="26" t="n">
        <x:v>1089</x:v>
      </x:c>
      <x:c r="L21" s="26" t="n">
        <x:v>1088</x:v>
      </x:c>
      <x:c r="M21" s="26" t="n">
        <x:v>1083</x:v>
      </x:c>
      <x:c r="N21" s="26" t="n">
        <x:v>1074</x:v>
      </x:c>
      <x:c r="O21" s="26" t="n">
        <x:v>1077</x:v>
      </x:c>
      <x:c r="P21" s="26" t="n">
        <x:v>1078</x:v>
      </x:c>
      <x:c r="Q21" s="26" t="n">
        <x:v>1092</x:v>
      </x:c>
      <x:c r="R21" s="26" t="n">
        <x:v>1092</x:v>
      </x:c>
      <x:c r="S21" s="26" t="n">
        <x:v>1095</x:v>
      </x:c>
      <x:c r="T21" s="26" t="n">
        <x:v>1103</x:v>
      </x:c>
      <x:c r="U21" s="26" t="n">
        <x:v>1109</x:v>
      </x:c>
      <x:c r="V21" s="26" t="n">
        <x:v>1110</x:v>
      </x:c>
      <x:c r="W21" s="26" t="n">
        <x:v>1101</x:v>
      </x:c>
      <x:c r="X21" s="26" t="n">
        <x:v>1086</x:v>
      </x:c>
    </x:row>
    <x:row r="22">
      <x:c r="A22" t="str">
        <x:v>DM1 Mag. art.</x:v>
      </x:c>
      <x:c r="B22" s="26" t="n">
        <x:v>9</x:v>
      </x:c>
      <x:c r="C22" s="26" t="n">
        <x:v>9</x:v>
      </x:c>
      <x:c r="D22" s="26" t="n">
        <x:v>9</x:v>
      </x:c>
      <x:c r="E22" s="26" t="n">
        <x:v>9</x:v>
      </x:c>
      <x:c r="F22" s="26" t="n">
        <x:v>9</x:v>
      </x:c>
      <x:c r="G22" s="26" t="n">
        <x:v>9</x:v>
      </x:c>
      <x:c r="H22" s="26" t="n">
        <x:v>9</x:v>
      </x:c>
      <x:c r="I22" s="26" t="n">
        <x:v>9</x:v>
      </x:c>
      <x:c r="J22" s="26" t="n">
        <x:v>9</x:v>
      </x:c>
      <x:c r="K22" s="26" t="n">
        <x:v>9</x:v>
      </x:c>
      <x:c r="L22" s="26" t="n">
        <x:v>8</x:v>
      </x:c>
      <x:c r="M22" s="26" t="n">
        <x:v>6</x:v>
      </x:c>
      <x:c r="N22" s="26" t="n">
        <x:v>6</x:v>
      </x:c>
      <x:c r="O22" s="26" t="n">
        <x:v>6</x:v>
      </x:c>
      <x:c r="P22" s="26" t="n">
        <x:v>6</x:v>
      </x:c>
      <x:c r="Q22" s="26" t="n">
        <x:v>5</x:v>
      </x:c>
      <x:c r="R22" s="26" t="n">
        <x:v>5</x:v>
      </x:c>
      <x:c r="S22" s="26" t="n">
        <x:v>5</x:v>
      </x:c>
      <x:c r="T22" s="26" t="n">
        <x:v>5</x:v>
      </x:c>
      <x:c r="U22" s="26" t="n">
        <x:v>5</x:v>
      </x:c>
      <x:c r="V22" s="26" t="n">
        <x:v>5</x:v>
      </x:c>
      <x:c r="W22" s="26" t="n">
        <x:v>4</x:v>
      </x:c>
      <x:c r="X22" s="26" t="n">
        <x:v>4</x:v>
      </x:c>
    </x:row>
    <x:row r="23">
      <x:c r="A23" t="str">
        <x:v>Æresmedlem</x:v>
      </x:c>
      <x:c r="B23" s="26" t="n">
        <x:v>10</x:v>
      </x:c>
      <x:c r="C23" s="26" t="n">
        <x:v>10</x:v>
      </x:c>
      <x:c r="D23" s="26" t="n">
        <x:v>10</x:v>
      </x:c>
      <x:c r="E23" s="26" t="n">
        <x:v>10</x:v>
      </x:c>
      <x:c r="F23" s="26" t="n">
        <x:v>9</x:v>
      </x:c>
      <x:c r="G23" s="26" t="n">
        <x:v>8</x:v>
      </x:c>
      <x:c r="H23" s="26" t="n">
        <x:v>8</x:v>
      </x:c>
      <x:c r="I23" s="26" t="n">
        <x:v>8</x:v>
      </x:c>
      <x:c r="J23" s="26" t="n">
        <x:v>8</x:v>
      </x:c>
      <x:c r="K23" s="26" t="n">
        <x:v>8</x:v>
      </x:c>
      <x:c r="L23" s="26" t="n">
        <x:v>8</x:v>
      </x:c>
      <x:c r="M23" s="26" t="n">
        <x:v>8</x:v>
      </x:c>
      <x:c r="N23" s="26" t="n">
        <x:v>8</x:v>
      </x:c>
      <x:c r="O23" s="26" t="n">
        <x:v>8</x:v>
      </x:c>
      <x:c r="P23" s="26" t="n">
        <x:v>8</x:v>
      </x:c>
      <x:c r="Q23" s="26" t="n">
        <x:v>8</x:v>
      </x:c>
      <x:c r="R23" s="26" t="n">
        <x:v>8</x:v>
      </x:c>
      <x:c r="S23" s="26" t="n">
        <x:v>10</x:v>
      </x:c>
      <x:c r="T23" s="26" t="n">
        <x:v>10</x:v>
      </x:c>
      <x:c r="U23" s="26" t="n">
        <x:v>10</x:v>
      </x:c>
      <x:c r="V23" s="26" t="n">
        <x:v>10</x:v>
      </x:c>
      <x:c r="W23" s="26" t="n">
        <x:v>10</x:v>
      </x:c>
      <x:c r="X23" s="26" t="n">
        <x:v>10</x:v>
      </x:c>
    </x:row>
    <x:row r="24">
      <x:c r="A24" t="str">
        <x:v>DP medlem</x:v>
      </x:c>
      <x:c r="B24" s="26" t="n">
        <x:v>1</x:v>
      </x:c>
      <x:c r="C24" s="26" t="n">
        <x:v>1</x:v>
      </x:c>
      <x:c r="D24" s="26" t="n">
        <x:v>1</x:v>
      </x:c>
      <x:c r="E24" s="26" t="n">
        <x:v>0</x:v>
      </x:c>
      <x:c r="F24" s="26" t="n">
        <x:v>0</x:v>
      </x:c>
      <x:c r="G24" s="26" t="n">
        <x:v>0</x:v>
      </x:c>
      <x:c r="H24" s="26" t="n">
        <x:v>0</x:v>
      </x:c>
      <x:c r="I24" s="26" t="n">
        <x:v>0</x:v>
      </x:c>
      <x:c r="J24" s="26" t="n">
        <x:v>0</x:v>
      </x:c>
      <x:c r="K24" s="26" t="n">
        <x:v>0</x:v>
      </x:c>
      <x:c r="L24" s="26" t="n">
        <x:v>0</x:v>
      </x:c>
      <x:c r="M24" s="26" t="n">
        <x:v>0</x:v>
      </x:c>
      <x:c r="N24" s="26" t="n">
        <x:v>0</x:v>
      </x:c>
      <x:c r="O24" s="26" t="n">
        <x:v>0</x:v>
      </x:c>
      <x:c r="P24" s="26" t="n">
        <x:v>0</x:v>
      </x:c>
      <x:c r="Q24" s="26" t="n">
        <x:v>0</x:v>
      </x:c>
      <x:c r="R24" s="26" t="n">
        <x:v>0</x:v>
      </x:c>
      <x:c r="S24" s="26" t="n">
        <x:v>0</x:v>
      </x:c>
      <x:c r="T24" s="26" t="n">
        <x:v>0</x:v>
      </x:c>
      <x:c r="U24" s="26" t="n">
        <x:v>0</x:v>
      </x:c>
      <x:c r="V24" s="26" t="n">
        <x:v>0</x:v>
      </x:c>
      <x:c r="W24" s="26" t="n">
        <x:v>0</x:v>
      </x:c>
      <x:c r="X24" s="26" t="n">
        <x:v>0</x:v>
      </x:c>
    </x:row>
    <x:row r="25">
      <x:c r="A25" s="30" t="str">
        <x:v>Alle medlemmer</x:v>
      </x:c>
      <x:c r="B25" s="31" t="n">
        <x:v>11705</x:v>
      </x:c>
      <x:c r="C25" s="31" t="n">
        <x:v>11717</x:v>
      </x:c>
      <x:c r="D25" s="31" t="n">
        <x:v>11699</x:v>
      </x:c>
      <x:c r="E25" s="31" t="n">
        <x:v>11755</x:v>
      </x:c>
      <x:c r="F25" s="31" t="n">
        <x:v>11715</x:v>
      </x:c>
      <x:c r="G25" s="31" t="n">
        <x:v>11698</x:v>
      </x:c>
      <x:c r="H25" s="31" t="n">
        <x:v>11696</x:v>
      </x:c>
      <x:c r="I25" s="31" t="n">
        <x:v>11707</x:v>
      </x:c>
      <x:c r="J25" s="31" t="n">
        <x:v>12045</x:v>
      </x:c>
      <x:c r="K25" s="31" t="n">
        <x:v>12051</x:v>
      </x:c>
      <x:c r="L25" s="31" t="n">
        <x:v>12043</x:v>
      </x:c>
      <x:c r="M25" s="31" t="n">
        <x:v>12039</x:v>
      </x:c>
      <x:c r="N25" s="31" t="n">
        <x:v>12065</x:v>
      </x:c>
      <x:c r="O25" s="31" t="n">
        <x:v>12505</x:v>
      </x:c>
      <x:c r="P25" s="31" t="n">
        <x:v>12634</x:v>
      </x:c>
      <x:c r="Q25" s="31" t="n">
        <x:v>12618</x:v>
      </x:c>
      <x:c r="R25" s="31" t="n">
        <x:v>12678</x:v>
      </x:c>
      <x:c r="S25" s="31" t="n">
        <x:v>12706</x:v>
      </x:c>
      <x:c r="T25" s="31" t="n">
        <x:v>13090</x:v>
      </x:c>
      <x:c r="U25" s="31" t="n">
        <x:v>13248</x:v>
      </x:c>
      <x:c r="V25" s="31" t="n">
        <x:v>13205</x:v>
      </x:c>
      <x:c r="W25" s="31" t="n">
        <x:v>13212</x:v>
      </x:c>
      <x:c r="X25" s="31" t="n">
        <x:v>13233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aa49a44dd21249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58" hidden="0" customWidth="1"/>
  </x:cols>
  <x:sheetData>
    <x:row r="1" ht="24" customHeight="1">
      <x:c r="A1" s="5" t="str">
        <x:v>Fremskrivning til 2029 - med 2022 i historikken</x:v>
      </x:c>
      <x:c r="M1" s="42"/>
    </x:row>
    <x:row r="3">
      <x:c r="A3" s="14" t="str">
        <x:v>Standard startdato</x:v>
      </x:c>
      <x:c r="B3" s="36" t="n">
        <x:v>44592</x:v>
      </x:c>
    </x:row>
    <x:row r="4">
      <x:c r="A4" s="14" t="str">
        <x:v>Seneste faktiske dato</x:v>
      </x:c>
      <x:c r="B4" s="36" t="n">
        <x:v>46173</x:v>
      </x:c>
    </x:row>
    <x:row r="5">
      <x:c r="A5" s="14" t="str">
        <x:v>Totalens historiske periode i år</x:v>
      </x:c>
      <x:c r="B5" s="38" t="n">
        <x:v>4.328542094455853</x:v>
      </x:c>
    </x:row>
    <x:row r="6">
      <x:c r="A6" s="14" t="str">
        <x:v>Metode</x:v>
      </x:c>
      <x:c r="B6" s="42" t="str">
        <x:v>Årlig vækst = CAGR. Fremtidige tal = seneste tal * (1 + årlig vækst)^(år frem).</x:v>
      </x:c>
    </x:row>
    <x:row r="7">
      <x:c r="A7" s="40" t="str">
        <x:v>Databrud</x:v>
      </x:c>
      <x:c r="B7" s="21" t="str">
        <x:v>Pensionist DP og Pensionist DP - Udland bruger 31.12.22 som start i kategori-fremskrivningen pga. omlægning/databrud i 2022.</x:v>
      </x:c>
    </x:row>
    <x:row r="9">
      <x:c r="F9" s="48" t="n">
        <x:v>46387</x:v>
      </x:c>
      <x:c r="G9" s="48" t="n">
        <x:v>46752</x:v>
      </x:c>
      <x:c r="H9" s="48" t="n">
        <x:v>47118</x:v>
      </x:c>
      <x:c r="I9" s="48" t="n">
        <x:v>47483</x:v>
      </x:c>
    </x:row>
    <x:row r="10">
      <x:c r="A10" s="14" t="str">
        <x:v>Medlemstype</x:v>
      </x:c>
      <x:c r="B10" s="14" t="str">
        <x:v>Startdato for beregning</x:v>
      </x:c>
      <x:c r="C10" s="14" t="str">
        <x:v>Startværdi</x:v>
      </x:c>
      <x:c r="D10" s="14" t="str">
        <x:v>Seneste 31.05.26</x:v>
      </x:c>
      <x:c r="E10" s="14" t="str">
        <x:v>Årlig vækst</x:v>
      </x:c>
      <x:c r="F10" s="14" t="str">
        <x:v>31.12.26 forventet</x:v>
      </x:c>
      <x:c r="G10" s="14" t="str">
        <x:v>31.12.27 forventet</x:v>
      </x:c>
      <x:c r="H10" s="14" t="str">
        <x:v>31.12.28 forventet</x:v>
      </x:c>
      <x:c r="I10" s="14" t="str">
        <x:v>31.12.29 forventet</x:v>
      </x:c>
      <x:c r="J10" s="14" t="str">
        <x:v>Ændring til 2029</x:v>
      </x:c>
      <x:c r="K10" s="14" t="str">
        <x:v>Vækst til 2029</x:v>
      </x:c>
      <x:c r="L10" s="14" t="str">
        <x:v>Andel af forventet total 2029</x:v>
      </x:c>
      <x:c r="M10" s="14" t="str">
        <x:v>Kommentar</x:v>
      </x:c>
    </x:row>
    <x:row r="11">
      <x:c r="A11" t="str">
        <x:v>Normaltansat over 19 timer</x:v>
      </x:c>
      <x:c r="B11" s="50" t="n">
        <x:f>'Historisk_data'!$B$3</x:f>
        <x:v>44592</x:v>
      </x:c>
      <x:c r="C11" s="26" t="n">
        <x:f>'Historisk_data'!$B$4</x:f>
        <x:v>5306</x:v>
      </x:c>
      <x:c r="D11" s="26" t="n">
        <x:f>'Historisk_data'!$X$4</x:f>
        <x:v>5896</x:v>
      </x:c>
      <x:c r="E11" s="52" t="n">
        <x:f>IF(OR(C11&lt;=0,D11&lt;=0),0,POWER(D11/C11,1/(($B$4-B11)/365.25))-1)</x:f>
        <x:v>0.02465738030422293</x:v>
      </x:c>
      <x:c r="F11" s="54" t="n">
        <x:f>ROUND($D11*POWER(1+$E11,(F$9-$B$4)/365.25),0)</x:f>
        <x:v>5981</x:v>
      </x:c>
      <x:c r="G11" s="54" t="n">
        <x:f>ROUND($D11*POWER(1+$E11,(G$9-$B$4)/365.25),0)</x:f>
        <x:v>6128</x:v>
      </x:c>
      <x:c r="H11" s="54" t="n">
        <x:f>ROUND($D11*POWER(1+$E11,(H$9-$B$4)/365.25),0)</x:f>
        <x:v>6280</x:v>
      </x:c>
      <x:c r="I11" s="54" t="n">
        <x:f>ROUND($D11*POWER(1+$E11,(I$9-$B$4)/365.25),0)</x:f>
        <x:v>6434</x:v>
      </x:c>
      <x:c r="J11" s="26" t="n">
        <x:f>I11-D11</x:f>
        <x:v>538</x:v>
      </x:c>
      <x:c r="K11" s="52" t="n">
        <x:f>IFERROR(J11/D11,"")</x:f>
        <x:v>0.0912483039348711</x:v>
      </x:c>
      <x:c r="L11" s="52" t="n">
        <x:f>IFERROR(I11/$I$33,"")</x:f>
        <x:v>0.43921086763601613</x:v>
      </x:c>
      <x:c r="M11" t="str"/>
    </x:row>
    <x:row r="12">
      <x:c r="A12" t="str">
        <x:v>Psykologistuderende</x:v>
      </x:c>
      <x:c r="B12" s="50" t="n">
        <x:f>'Historisk_data'!$B$3</x:f>
        <x:v>44592</x:v>
      </x:c>
      <x:c r="C12" s="26" t="n">
        <x:f>'Historisk_data'!$B$5</x:f>
        <x:v>373</x:v>
      </x:c>
      <x:c r="D12" s="26" t="n">
        <x:f>'Historisk_data'!$X$5</x:f>
        <x:v>0</x:v>
      </x:c>
      <x:c r="E12" s="52" t="n">
        <x:f>IF(OR(C12&lt;=0,D12&lt;=0),0,POWER(D12/C12,1/(($B$4-B12)/365.25))-1)</x:f>
        <x:v>0</x:v>
      </x:c>
      <x:c r="F12" s="54" t="n">
        <x:f>ROUND($D12*POWER(1+$E12,(F$9-$B$4)/365.25),0)</x:f>
        <x:v>0</x:v>
      </x:c>
      <x:c r="G12" s="54" t="n">
        <x:f>ROUND($D12*POWER(1+$E12,(G$9-$B$4)/365.25),0)</x:f>
        <x:v>0</x:v>
      </x:c>
      <x:c r="H12" s="54" t="n">
        <x:f>ROUND($D12*POWER(1+$E12,(H$9-$B$4)/365.25),0)</x:f>
        <x:v>0</x:v>
      </x:c>
      <x:c r="I12" s="54" t="n">
        <x:f>ROUND($D12*POWER(1+$E12,(I$9-$B$4)/365.25),0)</x:f>
        <x:v>0</x:v>
      </x:c>
      <x:c r="J12" s="26" t="n">
        <x:f>I12-D12</x:f>
        <x:v>0</x:v>
      </x:c>
      <x:c r="K12" s="52" t="str">
        <x:f>IFERROR(J12/D12,"")</x:f>
      </x:c>
      <x:c r="L12" s="52" t="n">
        <x:f>IFERROR(I12/$I$33,"")</x:f>
        <x:v>0</x:v>
      </x:c>
      <x:c r="M12" t="str">
        <x:v>Lille kategori - procentvækst bør læses varsomt.</x:v>
      </x:c>
    </x:row>
    <x:row r="13">
      <x:c r="A13" t="str">
        <x:v>Pensionist DP - Udland</x:v>
      </x:c>
      <x:c r="B13" s="50" t="n">
        <x:f>'Historisk_data'!$F$3</x:f>
        <x:v>44926</x:v>
      </x:c>
      <x:c r="C13" s="26" t="n">
        <x:f>'Historisk_data'!$F$6</x:f>
        <x:v>9</x:v>
      </x:c>
      <x:c r="D13" s="26" t="n">
        <x:f>'Historisk_data'!$X$6</x:f>
        <x:v>18</x:v>
      </x:c>
      <x:c r="E13" s="52" t="n">
        <x:f>IF(OR(C13&lt;=0,D13&lt;=0),0,POWER(D13/C13,1/(($B$4-B13)/365.25))-1)</x:f>
        <x:v>0.22510293107931534</x:v>
      </x:c>
      <x:c r="F13" s="54" t="n">
        <x:f>ROUND($D13*POWER(1+$E13,(F$9-$B$4)/365.25),0)</x:f>
        <x:v>20</x:v>
      </x:c>
      <x:c r="G13" s="54" t="n">
        <x:f>ROUND($D13*POWER(1+$E13,(G$9-$B$4)/365.25),0)</x:f>
        <x:v>25</x:v>
      </x:c>
      <x:c r="H13" s="54" t="n">
        <x:f>ROUND($D13*POWER(1+$E13,(H$9-$B$4)/365.25),0)</x:f>
        <x:v>30</x:v>
      </x:c>
      <x:c r="I13" s="54" t="n">
        <x:f>ROUND($D13*POWER(1+$E13,(I$9-$B$4)/365.25),0)</x:f>
        <x:v>37</x:v>
      </x:c>
      <x:c r="J13" s="26" t="n">
        <x:f>I13-D13</x:f>
        <x:v>19</x:v>
      </x:c>
      <x:c r="K13" s="52" t="n">
        <x:f>IFERROR(J13/D13,"")</x:f>
        <x:v>1.0555555555555556</x:v>
      </x:c>
      <x:c r="L13" s="52" t="n">
        <x:f>IFERROR(I13/$I$33,"")</x:f>
        <x:v>0.0025257696771110658</x:v>
      </x:c>
      <x:c r="M13" t="str">
        <x:v>Start sat til 31.12.22 pga. tydeligt databrud i 2022.</x:v>
      </x:c>
    </x:row>
    <x:row r="14">
      <x:c r="A14" t="str">
        <x:v>Ledig DP</x:v>
      </x:c>
      <x:c r="B14" s="50" t="n">
        <x:f>'Historisk_data'!$B$3</x:f>
        <x:v>44592</x:v>
      </x:c>
      <x:c r="C14" s="26" t="n">
        <x:f>'Historisk_data'!$B$7</x:f>
        <x:v>411</x:v>
      </x:c>
      <x:c r="D14" s="26" t="n">
        <x:f>'Historisk_data'!$X$7</x:f>
        <x:v>367</x:v>
      </x:c>
      <x:c r="E14" s="52" t="n">
        <x:f>IF(OR(C14&lt;=0,D14&lt;=0),0,POWER(D14/C14,1/(($B$4-B14)/365.25))-1)</x:f>
        <x:v>-0.02582005002008836</x:v>
      </x:c>
      <x:c r="F14" s="54" t="n">
        <x:f>ROUND($D14*POWER(1+$E14,(F$9-$B$4)/365.25),0)</x:f>
        <x:v>361</x:v>
      </x:c>
      <x:c r="G14" s="54" t="n">
        <x:f>ROUND($D14*POWER(1+$E14,(G$9-$B$4)/365.25),0)</x:f>
        <x:v>352</x:v>
      </x:c>
      <x:c r="H14" s="54" t="n">
        <x:f>ROUND($D14*POWER(1+$E14,(H$9-$B$4)/365.25),0)</x:f>
        <x:v>343</x:v>
      </x:c>
      <x:c r="I14" s="54" t="n">
        <x:f>ROUND($D14*POWER(1+$E14,(I$9-$B$4)/365.25),0)</x:f>
        <x:v>334</x:v>
      </x:c>
      <x:c r="J14" s="26" t="n">
        <x:f>I14-D14</x:f>
        <x:v>-33</x:v>
      </x:c>
      <x:c r="K14" s="52" t="n">
        <x:f>IFERROR(J14/D14,"")</x:f>
        <x:v>-0.08991825613079019</x:v>
      </x:c>
      <x:c r="L14" s="52" t="n">
        <x:f>IFERROR(I14/$I$33,"")</x:f>
        <x:v>0.022800191139326915</x:v>
      </x:c>
      <x:c r="M14" t="str"/>
    </x:row>
    <x:row r="15">
      <x:c r="A15" t="str">
        <x:v>1 og 2 års Kandidater</x:v>
      </x:c>
      <x:c r="B15" s="50" t="n">
        <x:f>'Historisk_data'!$B$3</x:f>
        <x:v>44592</x:v>
      </x:c>
      <x:c r="C15" s="26" t="n">
        <x:f>'Historisk_data'!$B$8</x:f>
        <x:v>461</x:v>
      </x:c>
      <x:c r="D15" s="26" t="n">
        <x:f>'Historisk_data'!$X$8</x:f>
        <x:v>898</x:v>
      </x:c>
      <x:c r="E15" s="52" t="n">
        <x:f>IF(OR(C15&lt;=0,D15&lt;=0),0,POWER(D15/C15,1/(($B$4-B15)/365.25))-1)</x:f>
        <x:v>0.1665384639337697</x:v>
      </x:c>
      <x:c r="F15" s="54" t="n">
        <x:f>ROUND($D15*POWER(1+$E15,(F$9-$B$4)/365.25),0)</x:f>
        <x:v>983</x:v>
      </x:c>
      <x:c r="G15" s="54" t="n">
        <x:f>ROUND($D15*POWER(1+$E15,(G$9-$B$4)/365.25),0)</x:f>
        <x:v>1146</x:v>
      </x:c>
      <x:c r="H15" s="54" t="n">
        <x:f>ROUND($D15*POWER(1+$E15,(H$9-$B$4)/365.25),0)</x:f>
        <x:v>1338</x:v>
      </x:c>
      <x:c r="I15" s="54" t="n">
        <x:f>ROUND($D15*POWER(1+$E15,(I$9-$B$4)/365.25),0)</x:f>
        <x:v>1560</x:v>
      </x:c>
      <x:c r="J15" s="26" t="n">
        <x:f>I15-D15</x:f>
        <x:v>662</x:v>
      </x:c>
      <x:c r="K15" s="52" t="n">
        <x:f>IFERROR(J15/D15,"")</x:f>
        <x:v>0.7371937639198218</x:v>
      </x:c>
      <x:c r="L15" s="52" t="n">
        <x:f>IFERROR(I15/$I$33,"")</x:f>
        <x:v>0.10649191071062872</x:v>
      </x:c>
      <x:c r="M15" t="str"/>
    </x:row>
    <x:row r="16">
      <x:c r="A16" t="str">
        <x:v>Selvstændig</x:v>
      </x:c>
      <x:c r="B16" s="50" t="n">
        <x:f>'Historisk_data'!$B$3</x:f>
        <x:v>44592</x:v>
      </x:c>
      <x:c r="C16" s="26" t="n">
        <x:f>'Historisk_data'!$B$9</x:f>
        <x:v>2210</x:v>
      </x:c>
      <x:c r="D16" s="26" t="n">
        <x:f>'Historisk_data'!$X$9</x:f>
        <x:v>2551</x:v>
      </x:c>
      <x:c r="E16" s="52" t="n">
        <x:f>IF(OR(C16&lt;=0,D16&lt;=0),0,POWER(D16/C16,1/(($B$4-B16)/365.25))-1)</x:f>
        <x:v>0.03370600213431785</x:v>
      </x:c>
      <x:c r="F16" s="54" t="n">
        <x:f>ROUND($D16*POWER(1+$E16,(F$9-$B$4)/365.25),0)</x:f>
        <x:v>2601</x:v>
      </x:c>
      <x:c r="G16" s="54" t="n">
        <x:f>ROUND($D16*POWER(1+$E16,(G$9-$B$4)/365.25),0)</x:f>
        <x:v>2689</x:v>
      </x:c>
      <x:c r="H16" s="54" t="n">
        <x:f>ROUND($D16*POWER(1+$E16,(H$9-$B$4)/365.25),0)</x:f>
        <x:v>2779</x:v>
      </x:c>
      <x:c r="I16" s="54" t="n">
        <x:f>ROUND($D16*POWER(1+$E16,(I$9-$B$4)/365.25),0)</x:f>
        <x:v>2873</x:v>
      </x:c>
      <x:c r="J16" s="26" t="n">
        <x:f>I16-D16</x:f>
        <x:v>322</x:v>
      </x:c>
      <x:c r="K16" s="52" t="n">
        <x:f>IFERROR(J16/D16,"")</x:f>
        <x:v>0.1262250098000784</x:v>
      </x:c>
      <x:c r="L16" s="52" t="n">
        <x:f>IFERROR(I16/$I$33,"")</x:f>
        <x:v>0.19612260222540787</x:v>
      </x:c>
      <x:c r="M16" t="str"/>
    </x:row>
    <x:row r="17">
      <x:c r="A17" t="str">
        <x:v>Studerende DP</x:v>
      </x:c>
      <x:c r="B17" s="50" t="n">
        <x:f>'Historisk_data'!$B$3</x:f>
        <x:v>44592</x:v>
      </x:c>
      <x:c r="C17" s="26" t="n">
        <x:f>'Historisk_data'!$B$10</x:f>
        <x:v>1213</x:v>
      </x:c>
      <x:c r="D17" s="26" t="n">
        <x:f>'Historisk_data'!$X$10</x:f>
        <x:v>1887</x:v>
      </x:c>
      <x:c r="E17" s="52" t="n">
        <x:f>IF(OR(C17&lt;=0,D17&lt;=0),0,POWER(D17/C17,1/(($B$4-B17)/365.25))-1)</x:f>
        <x:v>0.10748078020156404</x:v>
      </x:c>
      <x:c r="F17" s="54" t="n">
        <x:f>ROUND($D17*POWER(1+$E17,(F$9-$B$4)/365.25),0)</x:f>
        <x:v>2003</x:v>
      </x:c>
      <x:c r="G17" s="54" t="n">
        <x:f>ROUND($D17*POWER(1+$E17,(G$9-$B$4)/365.25),0)</x:f>
        <x:v>2218</x:v>
      </x:c>
      <x:c r="H17" s="54" t="n">
        <x:f>ROUND($D17*POWER(1+$E17,(H$9-$B$4)/365.25),0)</x:f>
        <x:v>2457</x:v>
      </x:c>
      <x:c r="I17" s="54" t="n">
        <x:f>ROUND($D17*POWER(1+$E17,(I$9-$B$4)/365.25),0)</x:f>
        <x:v>2721</x:v>
      </x:c>
      <x:c r="J17" s="26" t="n">
        <x:f>I17-D17</x:f>
        <x:v>834</x:v>
      </x:c>
      <x:c r="K17" s="52" t="n">
        <x:f>IFERROR(J17/D17,"")</x:f>
        <x:v>0.4419713831478537</x:v>
      </x:c>
      <x:c r="L17" s="52" t="n">
        <x:f>IFERROR(I17/$I$33,"")</x:f>
        <x:v>0.1857464673356543</x:v>
      </x:c>
      <x:c r="M17" t="str"/>
    </x:row>
    <x:row r="18">
      <x:c r="A18" t="str">
        <x:v>Ph.d. studerende</x:v>
      </x:c>
      <x:c r="B18" s="50" t="n">
        <x:f>'Historisk_data'!$B$3</x:f>
        <x:v>44592</x:v>
      </x:c>
      <x:c r="C18" s="26" t="n">
        <x:f>'Historisk_data'!$B$11</x:f>
        <x:v>60</x:v>
      </x:c>
      <x:c r="D18" s="26" t="n">
        <x:f>'Historisk_data'!$X$11</x:f>
        <x:v>47</x:v>
      </x:c>
      <x:c r="E18" s="52" t="n">
        <x:f>IF(OR(C18&lt;=0,D18&lt;=0),0,POWER(D18/C18,1/(($B$4-B18)/365.25))-1)</x:f>
        <x:v>-0.05485367453404011</x:v>
      </x:c>
      <x:c r="F18" s="54" t="n">
        <x:f>ROUND($D18*POWER(1+$E18,(F$9-$B$4)/365.25),0)</x:f>
        <x:v>45</x:v>
      </x:c>
      <x:c r="G18" s="54" t="n">
        <x:f>ROUND($D18*POWER(1+$E18,(G$9-$B$4)/365.25),0)</x:f>
        <x:v>43</x:v>
      </x:c>
      <x:c r="H18" s="54" t="n">
        <x:f>ROUND($D18*POWER(1+$E18,(H$9-$B$4)/365.25),0)</x:f>
        <x:v>41</x:v>
      </x:c>
      <x:c r="I18" s="54" t="n">
        <x:f>ROUND($D18*POWER(1+$E18,(I$9-$B$4)/365.25),0)</x:f>
        <x:v>38</x:v>
      </x:c>
      <x:c r="J18" s="26" t="n">
        <x:f>I18-D18</x:f>
        <x:v>-9</x:v>
      </x:c>
      <x:c r="K18" s="52" t="n">
        <x:f>IFERROR(J18/D18,"")</x:f>
        <x:v>-0.19148936170212766</x:v>
      </x:c>
      <x:c r="L18" s="52" t="n">
        <x:f>IFERROR(I18/$I$33,"")</x:f>
        <x:v>0.0025940337224383916</x:v>
      </x:c>
      <x:c r="M18" t="str">
        <x:v>Lille kategori - procentvækst bør læses varsomt.</x:v>
      </x:c>
    </x:row>
    <x:row r="19">
      <x:c r="A19" t="str">
        <x:v>Orlov uden løn DP</x:v>
      </x:c>
      <x:c r="B19" s="50" t="n">
        <x:f>'Historisk_data'!$B$3</x:f>
        <x:v>44592</x:v>
      </x:c>
      <x:c r="C19" s="26" t="n">
        <x:f>'Historisk_data'!$B$12</x:f>
        <x:v>83</x:v>
      </x:c>
      <x:c r="D19" s="26" t="n">
        <x:f>'Historisk_data'!$X$12</x:f>
        <x:v>66</x:v>
      </x:c>
      <x:c r="E19" s="52" t="n">
        <x:f>IF(OR(C19&lt;=0,D19&lt;=0),0,POWER(D19/C19,1/(($B$4-B19)/365.25))-1)</x:f>
        <x:v>-0.051570280228498744</x:v>
      </x:c>
      <x:c r="F19" s="54" t="n">
        <x:f>ROUND($D19*POWER(1+$E19,(F$9-$B$4)/365.25),0)</x:f>
        <x:v>64</x:v>
      </x:c>
      <x:c r="G19" s="54" t="n">
        <x:f>ROUND($D19*POWER(1+$E19,(G$9-$B$4)/365.25),0)</x:f>
        <x:v>61</x:v>
      </x:c>
      <x:c r="H19" s="54" t="n">
        <x:f>ROUND($D19*POWER(1+$E19,(H$9-$B$4)/365.25),0)</x:f>
        <x:v>58</x:v>
      </x:c>
      <x:c r="I19" s="54" t="n">
        <x:f>ROUND($D19*POWER(1+$E19,(I$9-$B$4)/365.25),0)</x:f>
        <x:v>55</x:v>
      </x:c>
      <x:c r="J19" s="26" t="n">
        <x:f>I19-D19</x:f>
        <x:v>-11</x:v>
      </x:c>
      <x:c r="K19" s="52" t="n">
        <x:f>IFERROR(J19/D19,"")</x:f>
        <x:v>-0.16666666666666666</x:v>
      </x:c>
      <x:c r="L19" s="52" t="n">
        <x:f>IFERROR(I19/$I$33,"")</x:f>
        <x:v>0.0037545224930029355</x:v>
      </x:c>
      <x:c r="M19" t="str">
        <x:v>Lille kategori - procentvækst bør læses varsomt.</x:v>
      </x:c>
    </x:row>
    <x:row r="20">
      <x:c r="A20" t="str">
        <x:v>Udland DP</x:v>
      </x:c>
      <x:c r="B20" s="50" t="n">
        <x:f>'Historisk_data'!$B$3</x:f>
        <x:v>44592</x:v>
      </x:c>
      <x:c r="C20" s="26" t="n">
        <x:f>'Historisk_data'!$B$13</x:f>
        <x:v>67</x:v>
      </x:c>
      <x:c r="D20" s="26" t="n">
        <x:f>'Historisk_data'!$X$13</x:f>
        <x:v>49</x:v>
      </x:c>
      <x:c r="E20" s="52" t="n">
        <x:f>IF(OR(C20&lt;=0,D20&lt;=0),0,POWER(D20/C20,1/(($B$4-B20)/365.25))-1)</x:f>
        <x:v>-0.06973075513629257</x:v>
      </x:c>
      <x:c r="F20" s="54" t="n">
        <x:f>ROUND($D20*POWER(1+$E20,(F$9-$B$4)/365.25),0)</x:f>
        <x:v>47</x:v>
      </x:c>
      <x:c r="G20" s="54" t="n">
        <x:f>ROUND($D20*POWER(1+$E20,(G$9-$B$4)/365.25),0)</x:f>
        <x:v>44</x:v>
      </x:c>
      <x:c r="H20" s="54" t="n">
        <x:f>ROUND($D20*POWER(1+$E20,(H$9-$B$4)/365.25),0)</x:f>
        <x:v>41</x:v>
      </x:c>
      <x:c r="I20" s="54" t="n">
        <x:f>ROUND($D20*POWER(1+$E20,(I$9-$B$4)/365.25),0)</x:f>
        <x:v>38</x:v>
      </x:c>
      <x:c r="J20" s="26" t="n">
        <x:f>I20-D20</x:f>
        <x:v>-11</x:v>
      </x:c>
      <x:c r="K20" s="52" t="n">
        <x:f>IFERROR(J20/D20,"")</x:f>
        <x:v>-0.22448979591836735</x:v>
      </x:c>
      <x:c r="L20" s="52" t="n">
        <x:f>IFERROR(I20/$I$33,"")</x:f>
        <x:v>0.0025940337224383916</x:v>
      </x:c>
      <x:c r="M20" t="str">
        <x:v>Lille kategori - procentvækst bør læses varsomt.</x:v>
      </x:c>
    </x:row>
    <x:row r="21">
      <x:c r="A21" t="str">
        <x:v>Anden forhandlingsret</x:v>
      </x:c>
      <x:c r="B21" s="50" t="n">
        <x:f>'Historisk_data'!$B$3</x:f>
        <x:v>44592</x:v>
      </x:c>
      <x:c r="C21" s="26" t="n">
        <x:f>'Historisk_data'!$B$14</x:f>
        <x:v>30</x:v>
      </x:c>
      <x:c r="D21" s="26" t="n">
        <x:f>'Historisk_data'!$X$14</x:f>
        <x:v>27</x:v>
      </x:c>
      <x:c r="E21" s="52" t="n">
        <x:f>IF(OR(C21&lt;=0,D21&lt;=0),0,POWER(D21/C21,1/(($B$4-B21)/365.25))-1)</x:f>
        <x:v>-0.024047027987097902</x:v>
      </x:c>
      <x:c r="F21" s="54" t="n">
        <x:f>ROUND($D21*POWER(1+$E21,(F$9-$B$4)/365.25),0)</x:f>
        <x:v>27</x:v>
      </x:c>
      <x:c r="G21" s="54" t="n">
        <x:f>ROUND($D21*POWER(1+$E21,(G$9-$B$4)/365.25),0)</x:f>
        <x:v>26</x:v>
      </x:c>
      <x:c r="H21" s="54" t="n">
        <x:f>ROUND($D21*POWER(1+$E21,(H$9-$B$4)/365.25),0)</x:f>
        <x:v>25</x:v>
      </x:c>
      <x:c r="I21" s="54" t="n">
        <x:f>ROUND($D21*POWER(1+$E21,(I$9-$B$4)/365.25),0)</x:f>
        <x:v>25</x:v>
      </x:c>
      <x:c r="J21" s="26" t="n">
        <x:f>I21-D21</x:f>
        <x:v>-2</x:v>
      </x:c>
      <x:c r="K21" s="52" t="n">
        <x:f>IFERROR(J21/D21,"")</x:f>
        <x:v>-0.07407407407407407</x:v>
      </x:c>
      <x:c r="L21" s="52" t="n">
        <x:f>IFERROR(I21/$I$33,"")</x:f>
        <x:v>0.0017066011331831525</x:v>
      </x:c>
      <x:c r="M21" t="str">
        <x:v>Lille kategori - procentvækst bør læses varsomt.</x:v>
      </x:c>
    </x:row>
    <x:row r="22">
      <x:c r="A22" t="str">
        <x:v>Efterløn DP</x:v>
      </x:c>
      <x:c r="B22" s="50" t="n">
        <x:f>'Historisk_data'!$B$3</x:f>
        <x:v>44592</x:v>
      </x:c>
      <x:c r="C22" s="26" t="n">
        <x:f>'Historisk_data'!$B$15</x:f>
        <x:v>24</x:v>
      </x:c>
      <x:c r="D22" s="26" t="n">
        <x:f>'Historisk_data'!$X$15</x:f>
        <x:v>15</x:v>
      </x:c>
      <x:c r="E22" s="52" t="n">
        <x:f>IF(OR(C22&lt;=0,D22&lt;=0),0,POWER(D22/C22,1/(($B$4-B22)/365.25))-1)</x:f>
        <x:v>-0.1028950587203753</x:v>
      </x:c>
      <x:c r="F22" s="54" t="n">
        <x:f>ROUND($D22*POWER(1+$E22,(F$9-$B$4)/365.25),0)</x:f>
        <x:v>14</x:v>
      </x:c>
      <x:c r="G22" s="54" t="n">
        <x:f>ROUND($D22*POWER(1+$E22,(G$9-$B$4)/365.25),0)</x:f>
        <x:v>13</x:v>
      </x:c>
      <x:c r="H22" s="54" t="n">
        <x:f>ROUND($D22*POWER(1+$E22,(H$9-$B$4)/365.25),0)</x:f>
        <x:v>11</x:v>
      </x:c>
      <x:c r="I22" s="54" t="n">
        <x:f>ROUND($D22*POWER(1+$E22,(I$9-$B$4)/365.25),0)</x:f>
        <x:v>10</x:v>
      </x:c>
      <x:c r="J22" s="26" t="n">
        <x:f>I22-D22</x:f>
        <x:v>-5</x:v>
      </x:c>
      <x:c r="K22" s="52" t="n">
        <x:f>IFERROR(J22/D22,"")</x:f>
        <x:v>-0.3333333333333333</x:v>
      </x:c>
      <x:c r="L22" s="52" t="n">
        <x:f>IFERROR(I22/$I$33,"")</x:f>
        <x:v>0.0006826404532732609</x:v>
      </x:c>
      <x:c r="M22" t="str">
        <x:v>Lille kategori - procentvækst bør læses varsomt.</x:v>
      </x:c>
    </x:row>
    <x:row r="23">
      <x:c r="A23" t="str">
        <x:v>DLF og DLF ret</x:v>
      </x:c>
      <x:c r="B23" s="50" t="n">
        <x:f>'Historisk_data'!$B$3</x:f>
        <x:v>44592</x:v>
      </x:c>
      <x:c r="C23" s="26" t="n">
        <x:f>'Historisk_data'!$B$16</x:f>
        <x:v>154</x:v>
      </x:c>
      <x:c r="D23" s="26" t="n">
        <x:f>'Historisk_data'!$X$16</x:f>
        <x:v>96</x:v>
      </x:c>
      <x:c r="E23" s="52" t="n">
        <x:f>IF(OR(C23&lt;=0,D23&lt;=0),0,POWER(D23/C23,1/(($B$4-B23)/365.25))-1)</x:f>
        <x:v>-0.10343391759389264</x:v>
      </x:c>
      <x:c r="F23" s="54" t="n">
        <x:f>ROUND($D23*POWER(1+$E23,(F$9-$B$4)/365.25),0)</x:f>
        <x:v>90</x:v>
      </x:c>
      <x:c r="G23" s="54" t="n">
        <x:f>ROUND($D23*POWER(1+$E23,(G$9-$B$4)/365.25),0)</x:f>
        <x:v>81</x:v>
      </x:c>
      <x:c r="H23" s="54" t="n">
        <x:f>ROUND($D23*POWER(1+$E23,(H$9-$B$4)/365.25),0)</x:f>
        <x:v>72</x:v>
      </x:c>
      <x:c r="I23" s="54" t="n">
        <x:f>ROUND($D23*POWER(1+$E23,(I$9-$B$4)/365.25),0)</x:f>
        <x:v>65</x:v>
      </x:c>
      <x:c r="J23" s="26" t="n">
        <x:f>I23-D23</x:f>
        <x:v>-31</x:v>
      </x:c>
      <x:c r="K23" s="52" t="n">
        <x:f>IFERROR(J23/D23,"")</x:f>
        <x:v>-0.3229166666666667</x:v>
      </x:c>
      <x:c r="L23" s="52" t="n">
        <x:f>IFERROR(I23/$I$33,"")</x:f>
        <x:v>0.004437162946276196</x:v>
      </x:c>
      <x:c r="M23" t="str">
        <x:v>Lille kategori - procentvækst bør læses varsomt.</x:v>
      </x:c>
    </x:row>
    <x:row r="24">
      <x:c r="A24" t="str">
        <x:v>Ledig ikke ret til dagpenge</x:v>
      </x:c>
      <x:c r="B24" s="50" t="n">
        <x:f>'Historisk_data'!$B$3</x:f>
        <x:v>44592</x:v>
      </x:c>
      <x:c r="C24" s="26" t="n">
        <x:f>'Historisk_data'!$B$17</x:f>
        <x:v>31</x:v>
      </x:c>
      <x:c r="D24" s="26" t="n">
        <x:f>'Historisk_data'!$X$17</x:f>
        <x:v>54</x:v>
      </x:c>
      <x:c r="E24" s="52" t="n">
        <x:f>IF(OR(C24&lt;=0,D24&lt;=0),0,POWER(D24/C24,1/(($B$4-B24)/365.25))-1)</x:f>
        <x:v>0.13680075408938275</x:v>
      </x:c>
      <x:c r="F24" s="54" t="n">
        <x:f>ROUND($D24*POWER(1+$E24,(F$9-$B$4)/365.25),0)</x:f>
        <x:v>58</x:v>
      </x:c>
      <x:c r="G24" s="54" t="n">
        <x:f>ROUND($D24*POWER(1+$E24,(G$9-$B$4)/365.25),0)</x:f>
        <x:v>66</x:v>
      </x:c>
      <x:c r="H24" s="54" t="n">
        <x:f>ROUND($D24*POWER(1+$E24,(H$9-$B$4)/365.25),0)</x:f>
        <x:v>75</x:v>
      </x:c>
      <x:c r="I24" s="54" t="n">
        <x:f>ROUND($D24*POWER(1+$E24,(I$9-$B$4)/365.25),0)</x:f>
        <x:v>86</x:v>
      </x:c>
      <x:c r="J24" s="26" t="n">
        <x:f>I24-D24</x:f>
        <x:v>32</x:v>
      </x:c>
      <x:c r="K24" s="52" t="n">
        <x:f>IFERROR(J24/D24,"")</x:f>
        <x:v>0.5925925925925926</x:v>
      </x:c>
      <x:c r="L24" s="52" t="n">
        <x:f>IFERROR(I24/$I$33,"")</x:f>
        <x:v>0.005870707898150044</x:v>
      </x:c>
      <x:c r="M24" t="str">
        <x:v>Lille kategori - procentvækst bør læses varsomt.</x:v>
      </x:c>
    </x:row>
    <x:row r="25">
      <x:c r="A25" t="str">
        <x:v>Normaltansat under 20 timer</x:v>
      </x:c>
      <x:c r="B25" s="50" t="n">
        <x:f>'Historisk_data'!$B$3</x:f>
        <x:v>44592</x:v>
      </x:c>
      <x:c r="C25" s="26" t="n">
        <x:f>'Historisk_data'!$B$18</x:f>
        <x:v>98</x:v>
      </x:c>
      <x:c r="D25" s="26" t="n">
        <x:f>'Historisk_data'!$X$18</x:f>
        <x:v>110</x:v>
      </x:c>
      <x:c r="E25" s="52" t="n">
        <x:f>IF(OR(C25&lt;=0,D25&lt;=0),0,POWER(D25/C25,1/(($B$4-B25)/365.25))-1)</x:f>
        <x:v>0.027045595131787836</x:v>
      </x:c>
      <x:c r="F25" s="54" t="n">
        <x:f>ROUND($D25*POWER(1+$E25,(F$9-$B$4)/365.25),0)</x:f>
        <x:v>112</x:v>
      </x:c>
      <x:c r="G25" s="54" t="n">
        <x:f>ROUND($D25*POWER(1+$E25,(G$9-$B$4)/365.25),0)</x:f>
        <x:v>115</x:v>
      </x:c>
      <x:c r="H25" s="54" t="n">
        <x:f>ROUND($D25*POWER(1+$E25,(H$9-$B$4)/365.25),0)</x:f>
        <x:v>118</x:v>
      </x:c>
      <x:c r="I25" s="54" t="n">
        <x:f>ROUND($D25*POWER(1+$E25,(I$9-$B$4)/365.25),0)</x:f>
        <x:v>121</x:v>
      </x:c>
      <x:c r="J25" s="26" t="n">
        <x:f>I25-D25</x:f>
        <x:v>11</x:v>
      </x:c>
      <x:c r="K25" s="52" t="n">
        <x:f>IFERROR(J25/D25,"")</x:f>
        <x:v>0.1</x:v>
      </x:c>
      <x:c r="L25" s="52" t="n">
        <x:f>IFERROR(I25/$I$33,"")</x:f>
        <x:v>0.008259949484606458</x:v>
      </x:c>
      <x:c r="M25" t="str"/>
    </x:row>
    <x:row r="26">
      <x:c r="A26" t="str">
        <x:v>DLF og DP ret</x:v>
      </x:c>
      <x:c r="B26" s="50" t="n">
        <x:f>'Historisk_data'!$B$3</x:f>
        <x:v>44592</x:v>
      </x:c>
      <x:c r="C26" s="26" t="n">
        <x:f>'Historisk_data'!$B$19</x:f>
        <x:v>52</x:v>
      </x:c>
      <x:c r="D26" s="26" t="n">
        <x:f>'Historisk_data'!$X$19</x:f>
        <x:v>31</x:v>
      </x:c>
      <x:c r="E26" s="52" t="n">
        <x:f>IF(OR(C26&lt;=0,D26&lt;=0),0,POWER(D26/C26,1/(($B$4-B26)/365.25))-1)</x:f>
        <x:v>-0.11263511759863098</x:v>
      </x:c>
      <x:c r="F26" s="54" t="n">
        <x:f>ROUND($D26*POWER(1+$E26,(F$9-$B$4)/365.25),0)</x:f>
        <x:v>29</x:v>
      </x:c>
      <x:c r="G26" s="54" t="n">
        <x:f>ROUND($D26*POWER(1+$E26,(G$9-$B$4)/365.25),0)</x:f>
        <x:v>26</x:v>
      </x:c>
      <x:c r="H26" s="54" t="n">
        <x:f>ROUND($D26*POWER(1+$E26,(H$9-$B$4)/365.25),0)</x:f>
        <x:v>23</x:v>
      </x:c>
      <x:c r="I26" s="54" t="n">
        <x:f>ROUND($D26*POWER(1+$E26,(I$9-$B$4)/365.25),0)</x:f>
        <x:v>20</x:v>
      </x:c>
      <x:c r="J26" s="26" t="n">
        <x:f>I26-D26</x:f>
        <x:v>-11</x:v>
      </x:c>
      <x:c r="K26" s="52" t="n">
        <x:f>IFERROR(J26/D26,"")</x:f>
        <x:v>-0.3548387096774194</x:v>
      </x:c>
      <x:c r="L26" s="52" t="n">
        <x:f>IFERROR(I26/$I$33,"")</x:f>
        <x:v>0.0013652809065465218</x:v>
      </x:c>
      <x:c r="M26" t="str">
        <x:v>Lille kategori - procentvækst bør læses varsomt.</x:v>
      </x:c>
    </x:row>
    <x:row r="27">
      <x:c r="A27" t="str">
        <x:v>Med løntilskud</x:v>
      </x:c>
      <x:c r="B27" s="50" t="n">
        <x:f>'Historisk_data'!$B$3</x:f>
        <x:v>44592</x:v>
      </x:c>
      <x:c r="C27" s="26" t="n">
        <x:f>'Historisk_data'!$B$20</x:f>
        <x:v>17</x:v>
      </x:c>
      <x:c r="D27" s="26" t="n">
        <x:f>'Historisk_data'!$X$20</x:f>
        <x:v>21</x:v>
      </x:c>
      <x:c r="E27" s="52" t="n">
        <x:f>IF(OR(C27&lt;=0,D27&lt;=0),0,POWER(D27/C27,1/(($B$4-B27)/365.25))-1)</x:f>
        <x:v>0.050028821872843965</x:v>
      </x:c>
      <x:c r="F27" s="54" t="n">
        <x:f>ROUND($D27*POWER(1+$E27,(F$9-$B$4)/365.25),0)</x:f>
        <x:v>22</x:v>
      </x:c>
      <x:c r="G27" s="54" t="n">
        <x:f>ROUND($D27*POWER(1+$E27,(G$9-$B$4)/365.25),0)</x:f>
        <x:v>23</x:v>
      </x:c>
      <x:c r="H27" s="54" t="n">
        <x:f>ROUND($D27*POWER(1+$E27,(H$9-$B$4)/365.25),0)</x:f>
        <x:v>24</x:v>
      </x:c>
      <x:c r="I27" s="54" t="n">
        <x:f>ROUND($D27*POWER(1+$E27,(I$9-$B$4)/365.25),0)</x:f>
        <x:v>25</x:v>
      </x:c>
      <x:c r="J27" s="26" t="n">
        <x:f>I27-D27</x:f>
        <x:v>4</x:v>
      </x:c>
      <x:c r="K27" s="52" t="n">
        <x:f>IFERROR(J27/D27,"")</x:f>
        <x:v>0.19047619047619047</x:v>
      </x:c>
      <x:c r="L27" s="52" t="n">
        <x:f>IFERROR(I27/$I$33,"")</x:f>
        <x:v>0.0017066011331831525</x:v>
      </x:c>
      <x:c r="M27" t="str">
        <x:v>Lille kategori - procentvækst bør læses varsomt.</x:v>
      </x:c>
    </x:row>
    <x:row r="28">
      <x:c r="A28" t="str">
        <x:v>Pensionist DP</x:v>
      </x:c>
      <x:c r="B28" s="50" t="n">
        <x:f>'Historisk_data'!$F$3</x:f>
        <x:v>44926</x:v>
      </x:c>
      <x:c r="C28" s="26" t="n">
        <x:f>'Historisk_data'!$F$21</x:f>
        <x:v>1086</x:v>
      </x:c>
      <x:c r="D28" s="26" t="n">
        <x:f>'Historisk_data'!$X$21</x:f>
        <x:v>1086</x:v>
      </x:c>
      <x:c r="E28" s="52" t="n">
        <x:f>IF(OR(C28&lt;=0,D28&lt;=0),0,POWER(D28/C28,1/(($B$4-B28)/365.25))-1)</x:f>
        <x:v>0</x:v>
      </x:c>
      <x:c r="F28" s="54" t="n">
        <x:f>ROUND($D28*POWER(1+$E28,(F$9-$B$4)/365.25),0)</x:f>
        <x:v>1086</x:v>
      </x:c>
      <x:c r="G28" s="54" t="n">
        <x:f>ROUND($D28*POWER(1+$E28,(G$9-$B$4)/365.25),0)</x:f>
        <x:v>1086</x:v>
      </x:c>
      <x:c r="H28" s="54" t="n">
        <x:f>ROUND($D28*POWER(1+$E28,(H$9-$B$4)/365.25),0)</x:f>
        <x:v>1086</x:v>
      </x:c>
      <x:c r="I28" s="54" t="n">
        <x:f>ROUND($D28*POWER(1+$E28,(I$9-$B$4)/365.25),0)</x:f>
        <x:v>1086</x:v>
      </x:c>
      <x:c r="J28" s="26" t="n">
        <x:f>I28-D28</x:f>
        <x:v>0</x:v>
      </x:c>
      <x:c r="K28" s="52" t="n">
        <x:f>IFERROR(J28/D28,"")</x:f>
        <x:v>0</x:v>
      </x:c>
      <x:c r="L28" s="52" t="n">
        <x:f>IFERROR(I28/$I$33,"")</x:f>
        <x:v>0.07413475322547614</x:v>
      </x:c>
      <x:c r="M28" t="str">
        <x:v>Start sat til 31.12.22 pga. tydeligt databrud i 2022.</x:v>
      </x:c>
    </x:row>
    <x:row r="29">
      <x:c r="A29" t="str">
        <x:v>DM1 Mag. art.</x:v>
      </x:c>
      <x:c r="B29" s="50" t="n">
        <x:f>'Historisk_data'!$B$3</x:f>
        <x:v>44592</x:v>
      </x:c>
      <x:c r="C29" s="26" t="n">
        <x:f>'Historisk_data'!$B$22</x:f>
        <x:v>9</x:v>
      </x:c>
      <x:c r="D29" s="26" t="n">
        <x:f>'Historisk_data'!$X$22</x:f>
        <x:v>4</x:v>
      </x:c>
      <x:c r="E29" s="52" t="n">
        <x:f>IF(OR(C29&lt;=0,D29&lt;=0),0,POWER(D29/C29,1/(($B$4-B29)/365.25))-1)</x:f>
        <x:v>-0.17084227609606872</x:v>
      </x:c>
      <x:c r="F29" s="54" t="n">
        <x:f>ROUND($D29*POWER(1+$E29,(F$9-$B$4)/365.25),0)</x:f>
        <x:v>4</x:v>
      </x:c>
      <x:c r="G29" s="54" t="n">
        <x:f>ROUND($D29*POWER(1+$E29,(G$9-$B$4)/365.25),0)</x:f>
        <x:v>3</x:v>
      </x:c>
      <x:c r="H29" s="54" t="n">
        <x:f>ROUND($D29*POWER(1+$E29,(H$9-$B$4)/365.25),0)</x:f>
        <x:v>2</x:v>
      </x:c>
      <x:c r="I29" s="54" t="n">
        <x:f>ROUND($D29*POWER(1+$E29,(I$9-$B$4)/365.25),0)</x:f>
        <x:v>2</x:v>
      </x:c>
      <x:c r="J29" s="26" t="n">
        <x:f>I29-D29</x:f>
        <x:v>-2</x:v>
      </x:c>
      <x:c r="K29" s="52" t="n">
        <x:f>IFERROR(J29/D29,"")</x:f>
        <x:v>-0.5</x:v>
      </x:c>
      <x:c r="L29" s="52" t="n">
        <x:f>IFERROR(I29/$I$33,"")</x:f>
        <x:v>0.0001365280906546522</x:v>
      </x:c>
      <x:c r="M29" t="str">
        <x:v>Lille kategori - procentvækst bør læses varsomt.</x:v>
      </x:c>
    </x:row>
    <x:row r="30">
      <x:c r="A30" t="str">
        <x:v>Æresmedlem</x:v>
      </x:c>
      <x:c r="B30" s="50" t="n">
        <x:f>'Historisk_data'!$B$3</x:f>
        <x:v>44592</x:v>
      </x:c>
      <x:c r="C30" s="26" t="n">
        <x:f>'Historisk_data'!$B$23</x:f>
        <x:v>10</x:v>
      </x:c>
      <x:c r="D30" s="26" t="n">
        <x:f>'Historisk_data'!$X$23</x:f>
        <x:v>10</x:v>
      </x:c>
      <x:c r="E30" s="52" t="n">
        <x:f>IF(OR(C30&lt;=0,D30&lt;=0),0,POWER(D30/C30,1/(($B$4-B30)/365.25))-1)</x:f>
        <x:v>0</x:v>
      </x:c>
      <x:c r="F30" s="54" t="n">
        <x:f>ROUND($D30*POWER(1+$E30,(F$9-$B$4)/365.25),0)</x:f>
        <x:v>10</x:v>
      </x:c>
      <x:c r="G30" s="54" t="n">
        <x:f>ROUND($D30*POWER(1+$E30,(G$9-$B$4)/365.25),0)</x:f>
        <x:v>10</x:v>
      </x:c>
      <x:c r="H30" s="54" t="n">
        <x:f>ROUND($D30*POWER(1+$E30,(H$9-$B$4)/365.25),0)</x:f>
        <x:v>10</x:v>
      </x:c>
      <x:c r="I30" s="54" t="n">
        <x:f>ROUND($D30*POWER(1+$E30,(I$9-$B$4)/365.25),0)</x:f>
        <x:v>10</x:v>
      </x:c>
      <x:c r="J30" s="26" t="n">
        <x:f>I30-D30</x:f>
        <x:v>0</x:v>
      </x:c>
      <x:c r="K30" s="52" t="n">
        <x:f>IFERROR(J30/D30,"")</x:f>
        <x:v>0</x:v>
      </x:c>
      <x:c r="L30" s="52" t="n">
        <x:f>IFERROR(I30/$I$33,"")</x:f>
        <x:v>0.0006826404532732609</x:v>
      </x:c>
      <x:c r="M30" t="str">
        <x:v>Lille kategori - procentvækst bør læses varsomt.</x:v>
      </x:c>
    </x:row>
    <x:row r="31">
      <x:c r="A31" t="str">
        <x:v>DP medlem</x:v>
      </x:c>
      <x:c r="B31" s="50" t="n">
        <x:f>'Historisk_data'!$B$3</x:f>
        <x:v>44592</x:v>
      </x:c>
      <x:c r="C31" s="26" t="n">
        <x:f>'Historisk_data'!$B$24</x:f>
        <x:v>1</x:v>
      </x:c>
      <x:c r="D31" s="26" t="n">
        <x:f>'Historisk_data'!$X$24</x:f>
        <x:v>0</x:v>
      </x:c>
      <x:c r="E31" s="52" t="n">
        <x:f>IF(OR(C31&lt;=0,D31&lt;=0),0,POWER(D31/C31,1/(($B$4-B31)/365.25))-1)</x:f>
        <x:v>0</x:v>
      </x:c>
      <x:c r="F31" s="54" t="n">
        <x:f>ROUND($D31*POWER(1+$E31,(F$9-$B$4)/365.25),0)</x:f>
        <x:v>0</x:v>
      </x:c>
      <x:c r="G31" s="54" t="n">
        <x:f>ROUND($D31*POWER(1+$E31,(G$9-$B$4)/365.25),0)</x:f>
        <x:v>0</x:v>
      </x:c>
      <x:c r="H31" s="54" t="n">
        <x:f>ROUND($D31*POWER(1+$E31,(H$9-$B$4)/365.25),0)</x:f>
        <x:v>0</x:v>
      </x:c>
      <x:c r="I31" s="54" t="n">
        <x:f>ROUND($D31*POWER(1+$E31,(I$9-$B$4)/365.25),0)</x:f>
        <x:v>0</x:v>
      </x:c>
      <x:c r="J31" s="26" t="n">
        <x:f>I31-D31</x:f>
        <x:v>0</x:v>
      </x:c>
      <x:c r="K31" s="52" t="str">
        <x:f>IFERROR(J31/D31,"")</x:f>
      </x:c>
      <x:c r="L31" s="52" t="n">
        <x:f>IFERROR(I31/$I$33,"")</x:f>
        <x:v>0</x:v>
      </x:c>
      <x:c r="M31" t="str">
        <x:v>Lille kategori - procentvækst bør læses varsomt.</x:v>
      </x:c>
    </x:row>
    <x:row r="32">
      <x:c r="A32" s="30" t="str">
        <x:v>Alle medlemmer (sum af kategorier)</x:v>
      </x:c>
      <x:c r="B32" s="58" t="n">
        <x:f>'Historisk_data'!$B$3</x:f>
        <x:v>44592</x:v>
      </x:c>
      <x:c r="C32" s="31" t="n">
        <x:f>SUM(C11:C31)</x:f>
        <x:v>11705</x:v>
      </x:c>
      <x:c r="D32" s="31" t="n">
        <x:f>SUM(D11:D31)</x:f>
        <x:v>13233</x:v>
      </x:c>
      <x:c r="E32" s="59" t="n">
        <x:f>IF(OR(C32&lt;=0,D32&lt;=0),0,POWER(D32/C32,1/(($B$4-B32)/365.25))-1)</x:f>
        <x:v>0.028751750245742613</x:v>
      </x:c>
      <x:c r="F32" s="31" t="n">
        <x:f>SUM(F11:F31)</x:f>
        <x:v>13557</x:v>
      </x:c>
      <x:c r="G32" s="31" t="n">
        <x:f>SUM(G11:G31)</x:f>
        <x:v>14155</x:v>
      </x:c>
      <x:c r="H32" s="31" t="n">
        <x:f>SUM(H11:H31)</x:f>
        <x:v>14813</x:v>
      </x:c>
      <x:c r="I32" s="31" t="n">
        <x:f>SUM(I11:I31)</x:f>
        <x:v>15540</x:v>
      </x:c>
      <x:c r="J32" s="31" t="n">
        <x:f>I32-D32</x:f>
        <x:v>2307</x:v>
      </x:c>
      <x:c r="K32" s="59" t="n">
        <x:f>IFERROR(J32/D32,"")</x:f>
        <x:v>0.17433688506007708</x:v>
      </x:c>
      <x:c r="L32" s="59" t="n">
        <x:v>1</x:v>
      </x:c>
      <x:c r="M32" s="30" t="str">
        <x:v>Summerer de enkelte kategori-fremskrivninger.</x:v>
      </x:c>
    </x:row>
    <x:row r="33">
      <x:c r="A33" s="30" t="str">
        <x:v>Alle medlemmer (beregnet på total)</x:v>
      </x:c>
      <x:c r="B33" s="58" t="n">
        <x:f>'Historisk_data'!$B$3</x:f>
        <x:v>44592</x:v>
      </x:c>
      <x:c r="C33" s="31" t="n">
        <x:f>'Historisk_data'!$B$25</x:f>
        <x:v>11705</x:v>
      </x:c>
      <x:c r="D33" s="31" t="n">
        <x:f>'Historisk_data'!$X$25</x:f>
        <x:v>13233</x:v>
      </x:c>
      <x:c r="E33" s="59" t="n">
        <x:f>IF(OR(C33&lt;=0,D33&lt;=0),0,POWER(D33/C33,1/(($B$4-B33)/365.25))-1)</x:f>
        <x:v>0.028751750245742613</x:v>
      </x:c>
      <x:c r="F33" s="31" t="n">
        <x:f>ROUND($D33*POWER(1+$E33,(F$9-$B$4)/365.25),0)</x:f>
        <x:v>13455</x:v>
      </x:c>
      <x:c r="G33" s="31" t="n">
        <x:f>ROUND($D33*POWER(1+$E33,(G$9-$B$4)/365.25),0)</x:f>
        <x:v>13841</x:v>
      </x:c>
      <x:c r="H33" s="31" t="n">
        <x:f>ROUND($D33*POWER(1+$E33,(H$9-$B$4)/365.25),0)</x:f>
        <x:v>14240</x:v>
      </x:c>
      <x:c r="I33" s="31" t="n">
        <x:f>ROUND($D33*POWER(1+$E33,(I$9-$B$4)/365.25),0)</x:f>
        <x:v>14649</x:v>
      </x:c>
      <x:c r="J33" s="31" t="n">
        <x:f>I33-D33</x:f>
        <x:v>1416</x:v>
      </x:c>
      <x:c r="K33" s="59" t="n">
        <x:f>IFERROR(J33/D33,"")</x:f>
        <x:v>0.10700521423713444</x:v>
      </x:c>
      <x:c r="L33" s="59" t="n">
        <x:v>1</x:v>
      </x:c>
      <x:c r="M33" s="30" t="str">
        <x:v>Primær totalfremskrivning baseret på totalens egen vækst fra 31.01.22.</x:v>
      </x:c>
    </x:row>
  </x:sheetData>
  <x:mergeCells>
    <x:mergeCell ref="A1:M1"/>
  </x:mergeCells>
  <x:conditionalFormatting sqref="E11:E3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11:J3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50fec6ff7b446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6.130001068115234" hidden="0" customWidth="1"/>
    <x:col min="2" max="2" width="5.75" hidden="0" customWidth="1"/>
    <x:col min="3" max="3" width="10" hidden="0" customWidth="1"/>
    <x:col min="4" max="4" width="13.630000114440918" hidden="0" customWidth="1"/>
  </x:cols>
  <x:sheetData>
    <x:row r="1" ht="24" customHeight="1">
      <x:c r="A1" s="5" t="str">
        <x:v>Grafdata - faktisk og fremskrevet totaludvikling</x:v>
      </x:c>
    </x:row>
    <x:row r="3">
      <x:c r="A3" s="14" t="str">
        <x:v>Dato</x:v>
      </x:c>
      <x:c r="B3" s="14" t="str">
        <x:v>Faktisk</x:v>
      </x:c>
      <x:c r="C3" s="14" t="str">
        <x:v>Fremskrevet</x:v>
      </x:c>
      <x:c r="D3" s="14" t="str">
        <x:v>Type</x:v>
      </x:c>
    </x:row>
    <x:row r="4">
      <x:c r="A4" s="50" t="n">
        <x:v>44592</x:v>
      </x:c>
      <x:c r="B4" s="26" t="n">
        <x:v>11705</x:v>
      </x:c>
      <x:c r="C4" s="26"/>
      <x:c r="D4" t="str">
        <x:v>Faktisk</x:v>
      </x:c>
    </x:row>
    <x:row r="5">
      <x:c r="A5" s="50" t="n">
        <x:v>44651</x:v>
      </x:c>
      <x:c r="B5" s="26" t="n">
        <x:v>11717</x:v>
      </x:c>
      <x:c r="C5" s="26"/>
      <x:c r="D5" t="str">
        <x:v>Faktisk</x:v>
      </x:c>
    </x:row>
    <x:row r="6">
      <x:c r="A6" s="50" t="n">
        <x:v>44742</x:v>
      </x:c>
      <x:c r="B6" s="26" t="n">
        <x:v>11699</x:v>
      </x:c>
      <x:c r="C6" s="26"/>
      <x:c r="D6" t="str">
        <x:v>Faktisk</x:v>
      </x:c>
    </x:row>
    <x:row r="7">
      <x:c r="A7" s="50" t="n">
        <x:v>44834</x:v>
      </x:c>
      <x:c r="B7" s="26" t="n">
        <x:v>11755</x:v>
      </x:c>
      <x:c r="C7" s="26"/>
      <x:c r="D7" t="str">
        <x:v>Faktisk</x:v>
      </x:c>
    </x:row>
    <x:row r="8">
      <x:c r="A8" s="50" t="n">
        <x:v>44926</x:v>
      </x:c>
      <x:c r="B8" s="26" t="n">
        <x:v>11715</x:v>
      </x:c>
      <x:c r="C8" s="26"/>
      <x:c r="D8" t="str">
        <x:v>Faktisk</x:v>
      </x:c>
    </x:row>
    <x:row r="9">
      <x:c r="A9" s="50" t="n">
        <x:v>44957</x:v>
      </x:c>
      <x:c r="B9" s="26" t="n">
        <x:v>11698</x:v>
      </x:c>
      <x:c r="C9" s="26"/>
      <x:c r="D9" t="str">
        <x:v>Faktisk</x:v>
      </x:c>
    </x:row>
    <x:row r="10">
      <x:c r="A10" s="50" t="n">
        <x:v>45016</x:v>
      </x:c>
      <x:c r="B10" s="26" t="n">
        <x:v>11696</x:v>
      </x:c>
      <x:c r="C10" s="26"/>
      <x:c r="D10" t="str">
        <x:v>Faktisk</x:v>
      </x:c>
    </x:row>
    <x:row r="11">
      <x:c r="A11" s="50" t="n">
        <x:v>45107</x:v>
      </x:c>
      <x:c r="B11" s="26" t="n">
        <x:v>11707</x:v>
      </x:c>
      <x:c r="C11" s="26"/>
      <x:c r="D11" t="str">
        <x:v>Faktisk</x:v>
      </x:c>
    </x:row>
    <x:row r="12">
      <x:c r="A12" s="50" t="n">
        <x:v>45199</x:v>
      </x:c>
      <x:c r="B12" s="26" t="n">
        <x:v>12045</x:v>
      </x:c>
      <x:c r="C12" s="26"/>
      <x:c r="D12" t="str">
        <x:v>Faktisk</x:v>
      </x:c>
    </x:row>
    <x:row r="13">
      <x:c r="A13" s="50" t="n">
        <x:v>45291</x:v>
      </x:c>
      <x:c r="B13" s="26" t="n">
        <x:v>12051</x:v>
      </x:c>
      <x:c r="C13" s="26"/>
      <x:c r="D13" t="str">
        <x:v>Faktisk</x:v>
      </x:c>
    </x:row>
    <x:row r="14">
      <x:c r="A14" s="50" t="n">
        <x:v>45322</x:v>
      </x:c>
      <x:c r="B14" s="26" t="n">
        <x:v>12043</x:v>
      </x:c>
      <x:c r="C14" s="26"/>
      <x:c r="D14" t="str">
        <x:v>Faktisk</x:v>
      </x:c>
    </x:row>
    <x:row r="15">
      <x:c r="A15" s="50" t="n">
        <x:v>45382</x:v>
      </x:c>
      <x:c r="B15" s="26" t="n">
        <x:v>12039</x:v>
      </x:c>
      <x:c r="C15" s="26"/>
      <x:c r="D15" t="str">
        <x:v>Faktisk</x:v>
      </x:c>
    </x:row>
    <x:row r="16">
      <x:c r="A16" s="50" t="n">
        <x:v>45473</x:v>
      </x:c>
      <x:c r="B16" s="26" t="n">
        <x:v>12065</x:v>
      </x:c>
      <x:c r="C16" s="26"/>
      <x:c r="D16" t="str">
        <x:v>Faktisk</x:v>
      </x:c>
    </x:row>
    <x:row r="17">
      <x:c r="A17" s="50" t="n">
        <x:v>45565</x:v>
      </x:c>
      <x:c r="B17" s="26" t="n">
        <x:v>12505</x:v>
      </x:c>
      <x:c r="C17" s="26"/>
      <x:c r="D17" t="str">
        <x:v>Faktisk</x:v>
      </x:c>
    </x:row>
    <x:row r="18">
      <x:c r="A18" s="50" t="n">
        <x:v>45657</x:v>
      </x:c>
      <x:c r="B18" s="26" t="n">
        <x:v>12634</x:v>
      </x:c>
      <x:c r="C18" s="26"/>
      <x:c r="D18" t="str">
        <x:v>Faktisk</x:v>
      </x:c>
    </x:row>
    <x:row r="19">
      <x:c r="A19" s="50" t="n">
        <x:v>45688</x:v>
      </x:c>
      <x:c r="B19" s="26" t="n">
        <x:v>12618</x:v>
      </x:c>
      <x:c r="C19" s="26"/>
      <x:c r="D19" t="str">
        <x:v>Faktisk</x:v>
      </x:c>
    </x:row>
    <x:row r="20">
      <x:c r="A20" s="50" t="n">
        <x:v>45747</x:v>
      </x:c>
      <x:c r="B20" s="26" t="n">
        <x:v>12678</x:v>
      </x:c>
      <x:c r="C20" s="26"/>
      <x:c r="D20" t="str">
        <x:v>Faktisk</x:v>
      </x:c>
    </x:row>
    <x:row r="21">
      <x:c r="A21" s="50" t="n">
        <x:v>45838</x:v>
      </x:c>
      <x:c r="B21" s="26" t="n">
        <x:v>12706</x:v>
      </x:c>
      <x:c r="C21" s="26"/>
      <x:c r="D21" t="str">
        <x:v>Faktisk</x:v>
      </x:c>
    </x:row>
    <x:row r="22">
      <x:c r="A22" s="50" t="n">
        <x:v>45930</x:v>
      </x:c>
      <x:c r="B22" s="26" t="n">
        <x:v>13090</x:v>
      </x:c>
      <x:c r="C22" s="26"/>
      <x:c r="D22" t="str">
        <x:v>Faktisk</x:v>
      </x:c>
    </x:row>
    <x:row r="23">
      <x:c r="A23" s="50" t="n">
        <x:v>46022</x:v>
      </x:c>
      <x:c r="B23" s="26" t="n">
        <x:v>13248</x:v>
      </x:c>
      <x:c r="C23" s="26"/>
      <x:c r="D23" t="str">
        <x:v>Faktisk</x:v>
      </x:c>
    </x:row>
    <x:row r="24">
      <x:c r="A24" s="50" t="n">
        <x:v>46053</x:v>
      </x:c>
      <x:c r="B24" s="26" t="n">
        <x:v>13205</x:v>
      </x:c>
      <x:c r="C24" s="26"/>
      <x:c r="D24" t="str">
        <x:v>Faktisk</x:v>
      </x:c>
    </x:row>
    <x:row r="25">
      <x:c r="A25" s="50" t="n">
        <x:v>46112</x:v>
      </x:c>
      <x:c r="B25" s="26" t="n">
        <x:v>13212</x:v>
      </x:c>
      <x:c r="C25" s="26"/>
      <x:c r="D25" t="str">
        <x:v>Faktisk</x:v>
      </x:c>
    </x:row>
    <x:row r="26">
      <x:c r="A26" s="50" t="n">
        <x:v>46173</x:v>
      </x:c>
      <x:c r="B26" s="26" t="n">
        <x:v>13233</x:v>
      </x:c>
      <x:c r="C26" s="26"/>
      <x:c r="D26" t="str">
        <x:v>Faktisk</x:v>
      </x:c>
    </x:row>
    <x:row r="27">
      <x:c r="A27" s="50" t="n">
        <x:v>46173</x:v>
      </x:c>
      <x:c r="B27" s="26"/>
      <x:c r="C27" s="26" t="n">
        <x:v>13233</x:v>
      </x:c>
      <x:c r="D27" t="str">
        <x:v>Fremskrevet start</x:v>
      </x:c>
    </x:row>
    <x:row r="28">
      <x:c r="A28" s="50" t="n">
        <x:v>46387</x:v>
      </x:c>
      <x:c r="B28" s="26"/>
      <x:c r="C28" s="26" t="n">
        <x:v>13455</x:v>
      </x:c>
      <x:c r="D28" t="str">
        <x:v>Fremskrevet</x:v>
      </x:c>
    </x:row>
    <x:row r="29">
      <x:c r="A29" s="50" t="n">
        <x:v>46752</x:v>
      </x:c>
      <x:c r="B29" s="26"/>
      <x:c r="C29" s="26" t="n">
        <x:v>13841</x:v>
      </x:c>
      <x:c r="D29" t="str">
        <x:v>Fremskrevet</x:v>
      </x:c>
    </x:row>
    <x:row r="30">
      <x:c r="A30" s="50" t="n">
        <x:v>47118</x:v>
      </x:c>
      <x:c r="B30" s="26"/>
      <x:c r="C30" s="26" t="n">
        <x:v>14240</x:v>
      </x:c>
      <x:c r="D30" t="str">
        <x:v>Fremskrevet</x:v>
      </x:c>
    </x:row>
    <x:row r="31">
      <x:c r="A31" s="50" t="n">
        <x:v>47483</x:v>
      </x:c>
      <x:c r="B31" s="26"/>
      <x:c r="C31" s="26" t="n">
        <x:v>14649</x:v>
      </x:c>
      <x:c r="D31" t="str">
        <x:v>Fremskrevet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48112e9f87f4fe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68" hidden="0" customWidth="1"/>
  </x:cols>
  <x:sheetData>
    <x:row r="1" ht="24" customHeight="1">
      <x:c r="A1" s="5" t="str">
        <x:v>Alle medlemmer - 2022 til 2029</x:v>
      </x:c>
      <x:c r="C1" s="42"/>
    </x:row>
    <x:row r="3">
      <x:c r="A3" s="21" t="str">
        <x:v>Fuldt optrukket kurve = faktiske tal. Stiplet kurve = fremskrivning til 2029.</x:v>
      </x:c>
    </x:row>
    <x:row r="36">
      <x:c r="A36" s="14" t="str">
        <x:v>Nøgletal</x:v>
      </x:c>
      <x:c r="B36" s="14" t="str">
        <x:v>Værdi</x:v>
      </x:c>
      <x:c r="C36" s="14" t="str">
        <x:v>Kommentar</x:v>
      </x:c>
    </x:row>
    <x:row r="37">
      <x:c r="A37" t="str">
        <x:v>Første faktiske total</x:v>
      </x:c>
      <x:c r="B37" s="26" t="n">
        <x:v>11705</x:v>
      </x:c>
      <x:c r="C37" t="str">
        <x:v>31.01.22</x:v>
      </x:c>
    </x:row>
    <x:row r="38">
      <x:c r="A38" t="str">
        <x:v>Seneste faktiske total</x:v>
      </x:c>
      <x:c r="B38" s="26" t="n">
        <x:v>13233</x:v>
      </x:c>
      <x:c r="C38" t="str">
        <x:v>31.05.26</x:v>
      </x:c>
    </x:row>
    <x:row r="39">
      <x:c r="A39" t="str">
        <x:v>Årlig vækst i totalen</x:v>
      </x:c>
      <x:c r="B39" s="52" t="n">
        <x:v>0.028751750245742613</x:v>
      </x:c>
      <x:c r="C39" t="str">
        <x:v>Beregnet fra 31.01.22 til 31.05.26</x:v>
      </x:c>
    </x:row>
    <x:row r="40">
      <x:c r="A40" t="str">
        <x:v>Forventet total 31.12.29</x:v>
      </x:c>
      <x:c r="B40" s="26" t="n">
        <x:v>14649</x:v>
      </x:c>
      <x:c r="C40" t="str">
        <x:v>Beregnet på totalens egen vækst</x:v>
      </x:c>
    </x:row>
    <x:row r="41">
      <x:c r="A41" t="str">
        <x:v>Forventet vækst i antal</x:v>
      </x:c>
      <x:c r="B41" s="26" t="n">
        <x:v>1416</x:v>
      </x:c>
      <x:c r="C41" t="str">
        <x:v>31.05.26 til 31.12.29</x:v>
      </x:c>
    </x:row>
    <x:row r="42">
      <x:c r="A42" t="str">
        <x:v>Forventet vækst i procent</x:v>
      </x:c>
      <x:c r="B42" s="52" t="n">
        <x:v>0.10700521423713444</x:v>
      </x:c>
      <x:c r="C42" t="str">
        <x:v>31.05.26 til 31.12.29</x:v>
      </x:c>
    </x:row>
    <x:row r="43">
      <x:c r="A43" t="str">
        <x:v>Sum af kategori-fremskrivninger 31.12.29</x:v>
      </x:c>
      <x:c r="B43" s="26" t="n">
        <x:v>15540</x:v>
      </x:c>
      <x:c r="C43" t="str">
        <x:v>Pensionistkategorier fremskrevet fra 31.12.22 pga. databrud</x:v>
      </x:c>
    </x:row>
  </x:sheetData>
  <x:mergeCells>
    <x:mergeCell ref="A1:N1"/>
    <x:mergeCell ref="A3:N3"/>
  </x:mergeCells>
  <x:pageMargins left="0.7" right="0.7" top="0.75" bottom="0.75" header="0.3" footer="0.3"/>
  <x:drawing xmlns:r="http://schemas.openxmlformats.org/officeDocument/2006/relationships" r:id="Rc71847298a164b61"/>
</x:worksheet>
</file>

<file path=xl/worksheets/sheet6.xml><?xml version="1.0" encoding="utf-8"?>
<x:worksheet xmlns:x="http://schemas.openxmlformats.org/spreadsheetml/2006/main">
  <x:sheetFormatPr defaultRowHeight="15"/>
  <x:cols>
    <x:col min="1" max="1" width="49.380001068115234" hidden="0" customWidth="1"/>
    <x:col min="2" max="2" width="5.75" hidden="0" customWidth="1"/>
    <x:col min="3" max="3" width="10" hidden="0" customWidth="1"/>
    <x:col min="4" max="4" width="13.630000114440918" hidden="0" customWidth="1"/>
  </x:cols>
  <x:sheetData>
    <x:row r="1" ht="24" customHeight="1">
      <x:c r="A1" s="5" t="str">
        <x:v>Redigerbar Excel-graf - alle medlemmer 2022-2029</x:v>
      </x:c>
    </x:row>
    <x:row r="3">
      <x:c r="A3" s="14" t="str">
        <x:v>Dato</x:v>
      </x:c>
      <x:c r="B3" s="14" t="str">
        <x:v>Faktisk</x:v>
      </x:c>
      <x:c r="C3" s="14" t="str">
        <x:v>Fremskrevet</x:v>
      </x:c>
      <x:c r="D3" s="14" t="str">
        <x:v>Type</x:v>
      </x:c>
    </x:row>
    <x:row r="4">
      <x:c r="A4" s="50" t="n">
        <x:v>44592</x:v>
      </x:c>
      <x:c r="B4" s="26" t="n">
        <x:v>11705</x:v>
      </x:c>
      <x:c r="C4" s="26"/>
      <x:c r="D4" t="str">
        <x:v>Faktisk</x:v>
      </x:c>
    </x:row>
    <x:row r="5">
      <x:c r="A5" s="50" t="n">
        <x:v>44651</x:v>
      </x:c>
      <x:c r="B5" s="26" t="n">
        <x:v>11717</x:v>
      </x:c>
      <x:c r="C5" s="26"/>
      <x:c r="D5" t="str">
        <x:v>Faktisk</x:v>
      </x:c>
    </x:row>
    <x:row r="6">
      <x:c r="A6" s="50" t="n">
        <x:v>44742</x:v>
      </x:c>
      <x:c r="B6" s="26" t="n">
        <x:v>11699</x:v>
      </x:c>
      <x:c r="C6" s="26"/>
      <x:c r="D6" t="str">
        <x:v>Faktisk</x:v>
      </x:c>
    </x:row>
    <x:row r="7">
      <x:c r="A7" s="50" t="n">
        <x:v>44834</x:v>
      </x:c>
      <x:c r="B7" s="26" t="n">
        <x:v>11755</x:v>
      </x:c>
      <x:c r="C7" s="26"/>
      <x:c r="D7" t="str">
        <x:v>Faktisk</x:v>
      </x:c>
    </x:row>
    <x:row r="8">
      <x:c r="A8" s="50" t="n">
        <x:v>44926</x:v>
      </x:c>
      <x:c r="B8" s="26" t="n">
        <x:v>11715</x:v>
      </x:c>
      <x:c r="C8" s="26"/>
      <x:c r="D8" t="str">
        <x:v>Faktisk</x:v>
      </x:c>
    </x:row>
    <x:row r="9">
      <x:c r="A9" s="50" t="n">
        <x:v>44957</x:v>
      </x:c>
      <x:c r="B9" s="26" t="n">
        <x:v>11698</x:v>
      </x:c>
      <x:c r="C9" s="26"/>
      <x:c r="D9" t="str">
        <x:v>Faktisk</x:v>
      </x:c>
    </x:row>
    <x:row r="10">
      <x:c r="A10" s="50" t="n">
        <x:v>45016</x:v>
      </x:c>
      <x:c r="B10" s="26" t="n">
        <x:v>11696</x:v>
      </x:c>
      <x:c r="C10" s="26"/>
      <x:c r="D10" t="str">
        <x:v>Faktisk</x:v>
      </x:c>
    </x:row>
    <x:row r="11">
      <x:c r="A11" s="50" t="n">
        <x:v>45107</x:v>
      </x:c>
      <x:c r="B11" s="26" t="n">
        <x:v>11707</x:v>
      </x:c>
      <x:c r="C11" s="26"/>
      <x:c r="D11" t="str">
        <x:v>Faktisk</x:v>
      </x:c>
    </x:row>
    <x:row r="12">
      <x:c r="A12" s="50" t="n">
        <x:v>45199</x:v>
      </x:c>
      <x:c r="B12" s="26" t="n">
        <x:v>12045</x:v>
      </x:c>
      <x:c r="C12" s="26"/>
      <x:c r="D12" t="str">
        <x:v>Faktisk</x:v>
      </x:c>
    </x:row>
    <x:row r="13">
      <x:c r="A13" s="50" t="n">
        <x:v>45291</x:v>
      </x:c>
      <x:c r="B13" s="26" t="n">
        <x:v>12051</x:v>
      </x:c>
      <x:c r="C13" s="26"/>
      <x:c r="D13" t="str">
        <x:v>Faktisk</x:v>
      </x:c>
    </x:row>
    <x:row r="14">
      <x:c r="A14" s="50" t="n">
        <x:v>45322</x:v>
      </x:c>
      <x:c r="B14" s="26" t="n">
        <x:v>12043</x:v>
      </x:c>
      <x:c r="C14" s="26"/>
      <x:c r="D14" t="str">
        <x:v>Faktisk</x:v>
      </x:c>
    </x:row>
    <x:row r="15">
      <x:c r="A15" s="50" t="n">
        <x:v>45382</x:v>
      </x:c>
      <x:c r="B15" s="26" t="n">
        <x:v>12039</x:v>
      </x:c>
      <x:c r="C15" s="26"/>
      <x:c r="D15" t="str">
        <x:v>Faktisk</x:v>
      </x:c>
    </x:row>
    <x:row r="16">
      <x:c r="A16" s="50" t="n">
        <x:v>45473</x:v>
      </x:c>
      <x:c r="B16" s="26" t="n">
        <x:v>12065</x:v>
      </x:c>
      <x:c r="C16" s="26"/>
      <x:c r="D16" t="str">
        <x:v>Faktisk</x:v>
      </x:c>
    </x:row>
    <x:row r="17">
      <x:c r="A17" s="50" t="n">
        <x:v>45565</x:v>
      </x:c>
      <x:c r="B17" s="26" t="n">
        <x:v>12505</x:v>
      </x:c>
      <x:c r="C17" s="26"/>
      <x:c r="D17" t="str">
        <x:v>Faktisk</x:v>
      </x:c>
    </x:row>
    <x:row r="18">
      <x:c r="A18" s="50" t="n">
        <x:v>45657</x:v>
      </x:c>
      <x:c r="B18" s="26" t="n">
        <x:v>12634</x:v>
      </x:c>
      <x:c r="C18" s="26"/>
      <x:c r="D18" t="str">
        <x:v>Faktisk</x:v>
      </x:c>
    </x:row>
    <x:row r="19">
      <x:c r="A19" s="50" t="n">
        <x:v>45688</x:v>
      </x:c>
      <x:c r="B19" s="26" t="n">
        <x:v>12618</x:v>
      </x:c>
      <x:c r="C19" s="26"/>
      <x:c r="D19" t="str">
        <x:v>Faktisk</x:v>
      </x:c>
    </x:row>
    <x:row r="20">
      <x:c r="A20" s="50" t="n">
        <x:v>45747</x:v>
      </x:c>
      <x:c r="B20" s="26" t="n">
        <x:v>12678</x:v>
      </x:c>
      <x:c r="C20" s="26"/>
      <x:c r="D20" t="str">
        <x:v>Faktisk</x:v>
      </x:c>
    </x:row>
    <x:row r="21">
      <x:c r="A21" s="50" t="n">
        <x:v>45838</x:v>
      </x:c>
      <x:c r="B21" s="26" t="n">
        <x:v>12706</x:v>
      </x:c>
      <x:c r="C21" s="26"/>
      <x:c r="D21" t="str">
        <x:v>Faktisk</x:v>
      </x:c>
    </x:row>
    <x:row r="22">
      <x:c r="A22" s="50" t="n">
        <x:v>45930</x:v>
      </x:c>
      <x:c r="B22" s="26" t="n">
        <x:v>13090</x:v>
      </x:c>
      <x:c r="C22" s="26"/>
      <x:c r="D22" t="str">
        <x:v>Faktisk</x:v>
      </x:c>
    </x:row>
    <x:row r="23">
      <x:c r="A23" s="50" t="n">
        <x:v>46022</x:v>
      </x:c>
      <x:c r="B23" s="26" t="n">
        <x:v>13248</x:v>
      </x:c>
      <x:c r="C23" s="26"/>
      <x:c r="D23" t="str">
        <x:v>Faktisk</x:v>
      </x:c>
    </x:row>
    <x:row r="24">
      <x:c r="A24" s="50" t="n">
        <x:v>46053</x:v>
      </x:c>
      <x:c r="B24" s="26" t="n">
        <x:v>13205</x:v>
      </x:c>
      <x:c r="C24" s="26"/>
      <x:c r="D24" t="str">
        <x:v>Faktisk</x:v>
      </x:c>
    </x:row>
    <x:row r="25">
      <x:c r="A25" s="50" t="n">
        <x:v>46112</x:v>
      </x:c>
      <x:c r="B25" s="26" t="n">
        <x:v>13212</x:v>
      </x:c>
      <x:c r="C25" s="26"/>
      <x:c r="D25" t="str">
        <x:v>Faktisk</x:v>
      </x:c>
    </x:row>
    <x:row r="26">
      <x:c r="A26" s="50" t="n">
        <x:v>46173</x:v>
      </x:c>
      <x:c r="B26" s="26" t="n">
        <x:v>13233</x:v>
      </x:c>
      <x:c r="C26" s="26"/>
      <x:c r="D26" t="str">
        <x:v>Faktisk</x:v>
      </x:c>
    </x:row>
    <x:row r="27">
      <x:c r="A27" s="50" t="n">
        <x:v>46173</x:v>
      </x:c>
      <x:c r="B27" s="26"/>
      <x:c r="C27" s="26" t="n">
        <x:v>13233</x:v>
      </x:c>
      <x:c r="D27" t="str">
        <x:v>Fremskrevet start</x:v>
      </x:c>
    </x:row>
    <x:row r="28">
      <x:c r="A28" s="50" t="n">
        <x:v>46387</x:v>
      </x:c>
      <x:c r="B28" s="26"/>
      <x:c r="C28" s="26" t="n">
        <x:v>13455</x:v>
      </x:c>
      <x:c r="D28" t="str">
        <x:v>Fremskrevet</x:v>
      </x:c>
    </x:row>
    <x:row r="29">
      <x:c r="A29" s="50" t="n">
        <x:v>46752</x:v>
      </x:c>
      <x:c r="B29" s="26"/>
      <x:c r="C29" s="26" t="n">
        <x:v>13841</x:v>
      </x:c>
      <x:c r="D29" t="str">
        <x:v>Fremskrevet</x:v>
      </x:c>
    </x:row>
    <x:row r="30">
      <x:c r="A30" s="50" t="n">
        <x:v>47118</x:v>
      </x:c>
      <x:c r="B30" s="26"/>
      <x:c r="C30" s="26" t="n">
        <x:v>14240</x:v>
      </x:c>
      <x:c r="D30" t="str">
        <x:v>Fremskrevet</x:v>
      </x:c>
    </x:row>
    <x:row r="31">
      <x:c r="A31" s="50" t="n">
        <x:v>47483</x:v>
      </x:c>
      <x:c r="B31" s="26"/>
      <x:c r="C31" s="26" t="n">
        <x:v>14649</x:v>
      </x:c>
      <x:c r="D31" t="str">
        <x:v>Fremskrevet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340f3894940e4386"/>
  <x:tableParts count="1">
    <x:tablePart xmlns:r="http://schemas.openxmlformats.org/officeDocument/2006/relationships" r:id="R63855d70987f4cf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2" hidden="0" customWidth="1"/>
  </x:cols>
  <x:sheetData>
    <x:row r="1" ht="24" customHeight="1">
      <x:c r="A1" s="5" t="str">
        <x:v>Kategori-overblik: forventet vækst til 2029</x:v>
      </x:c>
      <x:c r="H1" s="42"/>
    </x:row>
    <x:row r="3">
      <x:c r="A3" s="14" t="str">
        <x:v>Medlemstype</x:v>
      </x:c>
      <x:c r="B3" s="14" t="str">
        <x:v>31.05.26</x:v>
      </x:c>
      <x:c r="C3" s="14" t="str">
        <x:v>Årlig vækst</x:v>
      </x:c>
      <x:c r="D3" s="14" t="str">
        <x:v>31.12.29 forventet</x:v>
      </x:c>
      <x:c r="E3" s="14" t="str">
        <x:v>Ændring</x:v>
      </x:c>
      <x:c r="F3" s="14" t="str">
        <x:v>Vækst %</x:v>
      </x:c>
      <x:c r="G3" s="14" t="str">
        <x:v>Andel af 2029-total</x:v>
      </x:c>
      <x:c r="H3" s="14" t="str">
        <x:v>Kommentar</x:v>
      </x:c>
    </x:row>
    <x:row r="4">
      <x:c r="A4" t="str">
        <x:v>Studerende DP</x:v>
      </x:c>
      <x:c r="B4" s="26" t="n">
        <x:v>1887</x:v>
      </x:c>
      <x:c r="C4" s="52" t="n">
        <x:v>0.10748078020156404</x:v>
      </x:c>
      <x:c r="D4" s="26" t="n">
        <x:v>2721</x:v>
      </x:c>
      <x:c r="E4" s="26" t="n">
        <x:v>834</x:v>
      </x:c>
      <x:c r="F4" s="52" t="n">
        <x:v>0.4419713831478537</x:v>
      </x:c>
      <x:c r="G4" s="52" t="n">
        <x:v>0.1857464673356543</x:v>
      </x:c>
      <x:c r="H4" t="str"/>
    </x:row>
    <x:row r="5">
      <x:c r="A5" t="str">
        <x:v>1 og 2 års Kandidater</x:v>
      </x:c>
      <x:c r="B5" s="26" t="n">
        <x:v>898</x:v>
      </x:c>
      <x:c r="C5" s="52" t="n">
        <x:v>0.1665384639337697</x:v>
      </x:c>
      <x:c r="D5" s="26" t="n">
        <x:v>1560</x:v>
      </x:c>
      <x:c r="E5" s="26" t="n">
        <x:v>662</x:v>
      </x:c>
      <x:c r="F5" s="52" t="n">
        <x:v>0.7371937639198218</x:v>
      </x:c>
      <x:c r="G5" s="52" t="n">
        <x:v>0.10649191071062872</x:v>
      </x:c>
      <x:c r="H5" t="str"/>
    </x:row>
    <x:row r="6">
      <x:c r="A6" t="str">
        <x:v>Normaltansat over 19 timer</x:v>
      </x:c>
      <x:c r="B6" s="26" t="n">
        <x:v>5896</x:v>
      </x:c>
      <x:c r="C6" s="52" t="n">
        <x:v>0.02465738030422293</x:v>
      </x:c>
      <x:c r="D6" s="26" t="n">
        <x:v>6434</x:v>
      </x:c>
      <x:c r="E6" s="26" t="n">
        <x:v>538</x:v>
      </x:c>
      <x:c r="F6" s="52" t="n">
        <x:v>0.0912483039348711</x:v>
      </x:c>
      <x:c r="G6" s="52" t="n">
        <x:v>0.43921086763601613</x:v>
      </x:c>
      <x:c r="H6" t="str"/>
    </x:row>
    <x:row r="7">
      <x:c r="A7" t="str">
        <x:v>Selvstændig</x:v>
      </x:c>
      <x:c r="B7" s="26" t="n">
        <x:v>2551</x:v>
      </x:c>
      <x:c r="C7" s="52" t="n">
        <x:v>0.03370600213431785</x:v>
      </x:c>
      <x:c r="D7" s="26" t="n">
        <x:v>2873</x:v>
      </x:c>
      <x:c r="E7" s="26" t="n">
        <x:v>322</x:v>
      </x:c>
      <x:c r="F7" s="52" t="n">
        <x:v>0.1262250098000784</x:v>
      </x:c>
      <x:c r="G7" s="52" t="n">
        <x:v>0.19612260222540787</x:v>
      </x:c>
      <x:c r="H7" t="str"/>
    </x:row>
    <x:row r="8">
      <x:c r="A8" t="str">
        <x:v>Ledig ikke ret til dagpenge</x:v>
      </x:c>
      <x:c r="B8" s="26" t="n">
        <x:v>54</x:v>
      </x:c>
      <x:c r="C8" s="52" t="n">
        <x:v>0.13680075408938275</x:v>
      </x:c>
      <x:c r="D8" s="26" t="n">
        <x:v>86</x:v>
      </x:c>
      <x:c r="E8" s="26" t="n">
        <x:v>32</x:v>
      </x:c>
      <x:c r="F8" s="52" t="n">
        <x:v>0.5925925925925926</x:v>
      </x:c>
      <x:c r="G8" s="52" t="n">
        <x:v>0.005870707898150044</x:v>
      </x:c>
      <x:c r="H8" t="str">
        <x:v>Lille kategori - læs procentvækst varsomt.</x:v>
      </x:c>
    </x:row>
    <x:row r="9">
      <x:c r="A9" t="str">
        <x:v>Pensionist DP - Udland</x:v>
      </x:c>
      <x:c r="B9" s="26" t="n">
        <x:v>18</x:v>
      </x:c>
      <x:c r="C9" s="52" t="n">
        <x:v>0.22510293107931534</x:v>
      </x:c>
      <x:c r="D9" s="26" t="n">
        <x:v>37</x:v>
      </x:c>
      <x:c r="E9" s="26" t="n">
        <x:v>19</x:v>
      </x:c>
      <x:c r="F9" s="52" t="n">
        <x:v>1.0555555555555556</x:v>
      </x:c>
      <x:c r="G9" s="52" t="n">
        <x:v>0.0025257696771110658</x:v>
      </x:c>
      <x:c r="H9" t="str">
        <x:v>Start 31.12.22 pga. databrud.</x:v>
      </x:c>
    </x:row>
    <x:row r="10">
      <x:c r="A10" t="str">
        <x:v>Normaltansat under 20 timer</x:v>
      </x:c>
      <x:c r="B10" s="26" t="n">
        <x:v>110</x:v>
      </x:c>
      <x:c r="C10" s="52" t="n">
        <x:v>0.027045595131787836</x:v>
      </x:c>
      <x:c r="D10" s="26" t="n">
        <x:v>121</x:v>
      </x:c>
      <x:c r="E10" s="26" t="n">
        <x:v>11</x:v>
      </x:c>
      <x:c r="F10" s="52" t="n">
        <x:v>0.1</x:v>
      </x:c>
      <x:c r="G10" s="52" t="n">
        <x:v>0.008259949484606458</x:v>
      </x:c>
      <x:c r="H10" t="str"/>
    </x:row>
    <x:row r="11">
      <x:c r="A11" t="str">
        <x:v>Med løntilskud</x:v>
      </x:c>
      <x:c r="B11" s="26" t="n">
        <x:v>21</x:v>
      </x:c>
      <x:c r="C11" s="52" t="n">
        <x:v>0.050028821872843965</x:v>
      </x:c>
      <x:c r="D11" s="26" t="n">
        <x:v>25</x:v>
      </x:c>
      <x:c r="E11" s="26" t="n">
        <x:v>4</x:v>
      </x:c>
      <x:c r="F11" s="52" t="n">
        <x:v>0.19047619047619047</x:v>
      </x:c>
      <x:c r="G11" s="52" t="n">
        <x:v>0.0017066011331831525</x:v>
      </x:c>
      <x:c r="H11" t="str">
        <x:v>Lille kategori - læs procentvækst varsomt.</x:v>
      </x:c>
    </x:row>
    <x:row r="12">
      <x:c r="A12" t="str">
        <x:v>Psykologistuderende</x:v>
      </x:c>
      <x:c r="B12" s="26" t="n">
        <x:v>0</x:v>
      </x:c>
      <x:c r="C12" s="52" t="n">
        <x:v>0</x:v>
      </x:c>
      <x:c r="D12" s="26" t="n">
        <x:v>0</x:v>
      </x:c>
      <x:c r="E12" s="26" t="n">
        <x:v>0</x:v>
      </x:c>
      <x:c r="F12" s="52" t="str"/>
      <x:c r="G12" s="52" t="n">
        <x:v>0</x:v>
      </x:c>
      <x:c r="H12" t="str"/>
    </x:row>
    <x:row r="13">
      <x:c r="A13" t="str">
        <x:v>Pensionist DP</x:v>
      </x:c>
      <x:c r="B13" s="26" t="n">
        <x:v>1086</x:v>
      </x:c>
      <x:c r="C13" s="52" t="n">
        <x:v>0</x:v>
      </x:c>
      <x:c r="D13" s="26" t="n">
        <x:v>1086</x:v>
      </x:c>
      <x:c r="E13" s="26" t="n">
        <x:v>0</x:v>
      </x:c>
      <x:c r="F13" s="52" t="n">
        <x:v>0</x:v>
      </x:c>
      <x:c r="G13" s="52" t="n">
        <x:v>0.07413475322547614</x:v>
      </x:c>
      <x:c r="H13" t="str">
        <x:v>Start 31.12.22 pga. databrud.</x:v>
      </x:c>
    </x:row>
    <x:row r="14">
      <x:c r="A14" t="str">
        <x:v>Æresmedlem</x:v>
      </x:c>
      <x:c r="B14" s="26" t="n">
        <x:v>10</x:v>
      </x:c>
      <x:c r="C14" s="52" t="n">
        <x:v>0</x:v>
      </x:c>
      <x:c r="D14" s="26" t="n">
        <x:v>10</x:v>
      </x:c>
      <x:c r="E14" s="26" t="n">
        <x:v>0</x:v>
      </x:c>
      <x:c r="F14" s="52" t="n">
        <x:v>0</x:v>
      </x:c>
      <x:c r="G14" s="52" t="n">
        <x:v>0.0006826404532732609</x:v>
      </x:c>
      <x:c r="H14" t="str"/>
    </x:row>
    <x:row r="15">
      <x:c r="A15" t="str">
        <x:v>DP medlem</x:v>
      </x:c>
      <x:c r="B15" s="26" t="n">
        <x:v>0</x:v>
      </x:c>
      <x:c r="C15" s="52" t="n">
        <x:v>0</x:v>
      </x:c>
      <x:c r="D15" s="26" t="n">
        <x:v>0</x:v>
      </x:c>
      <x:c r="E15" s="26" t="n">
        <x:v>0</x:v>
      </x:c>
      <x:c r="F15" s="52" t="str"/>
      <x:c r="G15" s="52" t="n">
        <x:v>0</x:v>
      </x:c>
      <x:c r="H15" t="str"/>
    </x:row>
    <x:row r="16">
      <x:c r="A16" t="str">
        <x:v>Anden forhandlingsret</x:v>
      </x:c>
      <x:c r="B16" s="26" t="n">
        <x:v>27</x:v>
      </x:c>
      <x:c r="C16" s="52" t="n">
        <x:v>-0.024047027987097902</x:v>
      </x:c>
      <x:c r="D16" s="26" t="n">
        <x:v>25</x:v>
      </x:c>
      <x:c r="E16" s="26" t="n">
        <x:v>-2</x:v>
      </x:c>
      <x:c r="F16" s="52" t="n">
        <x:v>-0.07407407407407407</x:v>
      </x:c>
      <x:c r="G16" s="52" t="n">
        <x:v>0.0017066011331831525</x:v>
      </x:c>
      <x:c r="H16" t="str">
        <x:v>Lille kategori - læs procentvækst varsomt.</x:v>
      </x:c>
    </x:row>
    <x:row r="17">
      <x:c r="A17" t="str">
        <x:v>DM1 Mag. art.</x:v>
      </x:c>
      <x:c r="B17" s="26" t="n">
        <x:v>4</x:v>
      </x:c>
      <x:c r="C17" s="52" t="n">
        <x:v>-0.17084227609606872</x:v>
      </x:c>
      <x:c r="D17" s="26" t="n">
        <x:v>2</x:v>
      </x:c>
      <x:c r="E17" s="26" t="n">
        <x:v>-2</x:v>
      </x:c>
      <x:c r="F17" s="52" t="n">
        <x:v>-0.5</x:v>
      </x:c>
      <x:c r="G17" s="52" t="n">
        <x:v>0.0001365280906546522</x:v>
      </x:c>
      <x:c r="H17" t="str">
        <x:v>Lille kategori - læs procentvækst varsomt.</x:v>
      </x:c>
    </x:row>
    <x:row r="18">
      <x:c r="A18" t="str">
        <x:v>Efterløn DP</x:v>
      </x:c>
      <x:c r="B18" s="26" t="n">
        <x:v>15</x:v>
      </x:c>
      <x:c r="C18" s="52" t="n">
        <x:v>-0.1028950587203753</x:v>
      </x:c>
      <x:c r="D18" s="26" t="n">
        <x:v>10</x:v>
      </x:c>
      <x:c r="E18" s="26" t="n">
        <x:v>-5</x:v>
      </x:c>
      <x:c r="F18" s="52" t="n">
        <x:v>-0.3333333333333333</x:v>
      </x:c>
      <x:c r="G18" s="52" t="n">
        <x:v>0.0006826404532732609</x:v>
      </x:c>
      <x:c r="H18" t="str">
        <x:v>Lille kategori - læs procentvækst varsomt.</x:v>
      </x:c>
    </x:row>
    <x:row r="19">
      <x:c r="A19" t="str">
        <x:v>Ph.d. studerende</x:v>
      </x:c>
      <x:c r="B19" s="26" t="n">
        <x:v>47</x:v>
      </x:c>
      <x:c r="C19" s="52" t="n">
        <x:v>-0.05485367453404011</x:v>
      </x:c>
      <x:c r="D19" s="26" t="n">
        <x:v>38</x:v>
      </x:c>
      <x:c r="E19" s="26" t="n">
        <x:v>-9</x:v>
      </x:c>
      <x:c r="F19" s="52" t="n">
        <x:v>-0.19148936170212766</x:v>
      </x:c>
      <x:c r="G19" s="52" t="n">
        <x:v>0.0025940337224383916</x:v>
      </x:c>
      <x:c r="H19" t="str">
        <x:v>Lille kategori - læs procentvækst varsomt.</x:v>
      </x:c>
    </x:row>
    <x:row r="20">
      <x:c r="A20" t="str">
        <x:v>Orlov uden løn DP</x:v>
      </x:c>
      <x:c r="B20" s="26" t="n">
        <x:v>66</x:v>
      </x:c>
      <x:c r="C20" s="52" t="n">
        <x:v>-0.051570280228498744</x:v>
      </x:c>
      <x:c r="D20" s="26" t="n">
        <x:v>55</x:v>
      </x:c>
      <x:c r="E20" s="26" t="n">
        <x:v>-11</x:v>
      </x:c>
      <x:c r="F20" s="52" t="n">
        <x:v>-0.16666666666666666</x:v>
      </x:c>
      <x:c r="G20" s="52" t="n">
        <x:v>0.0037545224930029355</x:v>
      </x:c>
      <x:c r="H20" t="str">
        <x:v>Lille kategori - læs procentvækst varsomt.</x:v>
      </x:c>
    </x:row>
    <x:row r="21">
      <x:c r="A21" t="str">
        <x:v>Udland DP</x:v>
      </x:c>
      <x:c r="B21" s="26" t="n">
        <x:v>49</x:v>
      </x:c>
      <x:c r="C21" s="52" t="n">
        <x:v>-0.06973075513629257</x:v>
      </x:c>
      <x:c r="D21" s="26" t="n">
        <x:v>38</x:v>
      </x:c>
      <x:c r="E21" s="26" t="n">
        <x:v>-11</x:v>
      </x:c>
      <x:c r="F21" s="52" t="n">
        <x:v>-0.22448979591836735</x:v>
      </x:c>
      <x:c r="G21" s="52" t="n">
        <x:v>0.0025940337224383916</x:v>
      </x:c>
      <x:c r="H21" t="str">
        <x:v>Lille kategori - læs procentvækst varsomt.</x:v>
      </x:c>
    </x:row>
    <x:row r="22">
      <x:c r="A22" t="str">
        <x:v>DLF og DP ret</x:v>
      </x:c>
      <x:c r="B22" s="26" t="n">
        <x:v>31</x:v>
      </x:c>
      <x:c r="C22" s="52" t="n">
        <x:v>-0.11263511759863098</x:v>
      </x:c>
      <x:c r="D22" s="26" t="n">
        <x:v>20</x:v>
      </x:c>
      <x:c r="E22" s="26" t="n">
        <x:v>-11</x:v>
      </x:c>
      <x:c r="F22" s="52" t="n">
        <x:v>-0.3548387096774194</x:v>
      </x:c>
      <x:c r="G22" s="52" t="n">
        <x:v>0.0013652809065465218</x:v>
      </x:c>
      <x:c r="H22" t="str">
        <x:v>Lille kategori - læs procentvækst varsomt.</x:v>
      </x:c>
    </x:row>
    <x:row r="23">
      <x:c r="A23" t="str">
        <x:v>DLF og DLF ret</x:v>
      </x:c>
      <x:c r="B23" s="26" t="n">
        <x:v>96</x:v>
      </x:c>
      <x:c r="C23" s="52" t="n">
        <x:v>-0.10343391759389264</x:v>
      </x:c>
      <x:c r="D23" s="26" t="n">
        <x:v>65</x:v>
      </x:c>
      <x:c r="E23" s="26" t="n">
        <x:v>-31</x:v>
      </x:c>
      <x:c r="F23" s="52" t="n">
        <x:v>-0.3229166666666667</x:v>
      </x:c>
      <x:c r="G23" s="52" t="n">
        <x:v>0.004437162946276196</x:v>
      </x:c>
      <x:c r="H23" t="str">
        <x:v>Lille kategori - læs procentvækst varsomt.</x:v>
      </x:c>
    </x:row>
    <x:row r="24">
      <x:c r="A24" t="str">
        <x:v>Ledig DP</x:v>
      </x:c>
      <x:c r="B24" s="26" t="n">
        <x:v>367</x:v>
      </x:c>
      <x:c r="C24" s="52" t="n">
        <x:v>-0.02582005002008836</x:v>
      </x:c>
      <x:c r="D24" s="26" t="n">
        <x:v>334</x:v>
      </x:c>
      <x:c r="E24" s="26" t="n">
        <x:v>-33</x:v>
      </x:c>
      <x:c r="F24" s="52" t="n">
        <x:v>-0.08991825613079019</x:v>
      </x:c>
      <x:c r="G24" s="52" t="n">
        <x:v>0.022800191139326915</x:v>
      </x:c>
      <x:c r="H24" t="str"/>
    </x:row>
  </x:sheetData>
  <x:mergeCells>
    <x:mergeCell ref="A1:H1"/>
  </x:mergeCells>
  <x:conditionalFormatting sqref="E4:E2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1871c03ca7e14919"/>
  <x:tableParts count="1">
    <x:tablePart xmlns:r="http://schemas.openxmlformats.org/officeDocument/2006/relationships" r:id="Rb741bac047d1480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5.75" hidden="0" customWidth="1"/>
    <x:col min="2" max="2" width="14" hidden="0" customWidth="1"/>
    <x:col min="3" max="3" width="18.5" hidden="0" customWidth="1"/>
    <x:col min="4" max="4" width="8.380000114440918" hidden="0" customWidth="1"/>
    <x:col min="5" max="5" width="5.25" hidden="0" customWidth="1"/>
  </x:cols>
  <x:sheetData>
    <x:row r="1" ht="24" customHeight="1">
      <x:c r="A1" s="5" t="str">
        <x:v>Datatjek - historiske kategorier vs. totalrækken</x:v>
      </x:c>
    </x:row>
    <x:row r="3">
      <x:c r="A3" s="14" t="str">
        <x:v>Dato</x:v>
      </x:c>
      <x:c r="B3" s="14" t="str">
        <x:v>Sum af kategorier</x:v>
      </x:c>
      <x:c r="C3" s="14" t="str">
        <x:v>Total ifølge totalrækken</x:v>
      </x:c>
      <x:c r="D3" s="14" t="str">
        <x:v>Difference</x:v>
      </x:c>
      <x:c r="E3" s="14" t="str">
        <x:v>Status</x:v>
      </x:c>
    </x:row>
    <x:row r="4">
      <x:c r="A4" s="50" t="n">
        <x:v>44592</x:v>
      </x:c>
      <x:c r="B4" s="26" t="n">
        <x:f>SUM('Historisk_data'!$B$4:$B$24)</x:f>
        <x:v>11705</x:v>
      </x:c>
      <x:c r="C4" s="26" t="n">
        <x:f>'Historisk_data'!$B$25</x:f>
        <x:v>11705</x:v>
      </x:c>
      <x:c r="D4" s="26" t="n">
        <x:f>B4-C4</x:f>
        <x:v>0</x:v>
      </x:c>
      <x:c r="E4" t="str">
        <x:f>IF(D4=0,"OK","Tjek")</x:f>
        <x:v>OK</x:v>
      </x:c>
    </x:row>
    <x:row r="5">
      <x:c r="A5" s="50" t="n">
        <x:v>44651</x:v>
      </x:c>
      <x:c r="B5" s="26" t="n">
        <x:f>SUM('Historisk_data'!$C$4:$C$24)</x:f>
        <x:v>11717</x:v>
      </x:c>
      <x:c r="C5" s="26" t="n">
        <x:f>'Historisk_data'!$C$25</x:f>
        <x:v>11717</x:v>
      </x:c>
      <x:c r="D5" s="26" t="n">
        <x:f>B5-C5</x:f>
        <x:v>0</x:v>
      </x:c>
      <x:c r="E5" t="str">
        <x:f>IF(D5=0,"OK","Tjek")</x:f>
        <x:v>OK</x:v>
      </x:c>
    </x:row>
    <x:row r="6">
      <x:c r="A6" s="50" t="n">
        <x:v>44742</x:v>
      </x:c>
      <x:c r="B6" s="26" t="n">
        <x:f>SUM('Historisk_data'!$D$4:$D$24)</x:f>
        <x:v>11699</x:v>
      </x:c>
      <x:c r="C6" s="26" t="n">
        <x:f>'Historisk_data'!$D$25</x:f>
        <x:v>11699</x:v>
      </x:c>
      <x:c r="D6" s="26" t="n">
        <x:f>B6-C6</x:f>
        <x:v>0</x:v>
      </x:c>
      <x:c r="E6" t="str">
        <x:f>IF(D6=0,"OK","Tjek")</x:f>
        <x:v>OK</x:v>
      </x:c>
    </x:row>
    <x:row r="7">
      <x:c r="A7" s="50" t="n">
        <x:v>44834</x:v>
      </x:c>
      <x:c r="B7" s="26" t="n">
        <x:f>SUM('Historisk_data'!$E$4:$E$24)</x:f>
        <x:v>11755</x:v>
      </x:c>
      <x:c r="C7" s="26" t="n">
        <x:f>'Historisk_data'!$E$25</x:f>
        <x:v>11755</x:v>
      </x:c>
      <x:c r="D7" s="26" t="n">
        <x:f>B7-C7</x:f>
        <x:v>0</x:v>
      </x:c>
      <x:c r="E7" t="str">
        <x:f>IF(D7=0,"OK","Tjek")</x:f>
        <x:v>OK</x:v>
      </x:c>
    </x:row>
    <x:row r="8">
      <x:c r="A8" s="50" t="n">
        <x:v>44926</x:v>
      </x:c>
      <x:c r="B8" s="26" t="n">
        <x:f>SUM('Historisk_data'!$F$4:$F$24)</x:f>
        <x:v>11715</x:v>
      </x:c>
      <x:c r="C8" s="26" t="n">
        <x:f>'Historisk_data'!$F$25</x:f>
        <x:v>11715</x:v>
      </x:c>
      <x:c r="D8" s="26" t="n">
        <x:f>B8-C8</x:f>
        <x:v>0</x:v>
      </x:c>
      <x:c r="E8" t="str">
        <x:f>IF(D8=0,"OK","Tjek")</x:f>
        <x:v>OK</x:v>
      </x:c>
    </x:row>
    <x:row r="9">
      <x:c r="A9" s="50" t="n">
        <x:v>44957</x:v>
      </x:c>
      <x:c r="B9" s="26" t="n">
        <x:f>SUM('Historisk_data'!$G$4:$G$24)</x:f>
        <x:v>11698</x:v>
      </x:c>
      <x:c r="C9" s="26" t="n">
        <x:f>'Historisk_data'!$G$25</x:f>
        <x:v>11698</x:v>
      </x:c>
      <x:c r="D9" s="26" t="n">
        <x:f>B9-C9</x:f>
        <x:v>0</x:v>
      </x:c>
      <x:c r="E9" t="str">
        <x:f>IF(D9=0,"OK","Tjek")</x:f>
        <x:v>OK</x:v>
      </x:c>
    </x:row>
    <x:row r="10">
      <x:c r="A10" s="50" t="n">
        <x:v>45016</x:v>
      </x:c>
      <x:c r="B10" s="26" t="n">
        <x:f>SUM('Historisk_data'!$H$4:$H$24)</x:f>
        <x:v>11696</x:v>
      </x:c>
      <x:c r="C10" s="26" t="n">
        <x:f>'Historisk_data'!$H$25</x:f>
        <x:v>11696</x:v>
      </x:c>
      <x:c r="D10" s="26" t="n">
        <x:f>B10-C10</x:f>
        <x:v>0</x:v>
      </x:c>
      <x:c r="E10" t="str">
        <x:f>IF(D10=0,"OK","Tjek")</x:f>
        <x:v>OK</x:v>
      </x:c>
    </x:row>
    <x:row r="11">
      <x:c r="A11" s="50" t="n">
        <x:v>45107</x:v>
      </x:c>
      <x:c r="B11" s="26" t="n">
        <x:f>SUM('Historisk_data'!$I$4:$I$24)</x:f>
        <x:v>11707</x:v>
      </x:c>
      <x:c r="C11" s="26" t="n">
        <x:f>'Historisk_data'!$I$25</x:f>
        <x:v>11707</x:v>
      </x:c>
      <x:c r="D11" s="26" t="n">
        <x:f>B11-C11</x:f>
        <x:v>0</x:v>
      </x:c>
      <x:c r="E11" t="str">
        <x:f>IF(D11=0,"OK","Tjek")</x:f>
        <x:v>OK</x:v>
      </x:c>
    </x:row>
    <x:row r="12">
      <x:c r="A12" s="50" t="n">
        <x:v>45199</x:v>
      </x:c>
      <x:c r="B12" s="26" t="n">
        <x:f>SUM('Historisk_data'!$J$4:$J$24)</x:f>
        <x:v>12045</x:v>
      </x:c>
      <x:c r="C12" s="26" t="n">
        <x:f>'Historisk_data'!$J$25</x:f>
        <x:v>12045</x:v>
      </x:c>
      <x:c r="D12" s="26" t="n">
        <x:f>B12-C12</x:f>
        <x:v>0</x:v>
      </x:c>
      <x:c r="E12" t="str">
        <x:f>IF(D12=0,"OK","Tjek")</x:f>
        <x:v>OK</x:v>
      </x:c>
    </x:row>
    <x:row r="13">
      <x:c r="A13" s="50" t="n">
        <x:v>45291</x:v>
      </x:c>
      <x:c r="B13" s="26" t="n">
        <x:f>SUM('Historisk_data'!$K$4:$K$24)</x:f>
        <x:v>12051</x:v>
      </x:c>
      <x:c r="C13" s="26" t="n">
        <x:f>'Historisk_data'!$K$25</x:f>
        <x:v>12051</x:v>
      </x:c>
      <x:c r="D13" s="26" t="n">
        <x:f>B13-C13</x:f>
        <x:v>0</x:v>
      </x:c>
      <x:c r="E13" t="str">
        <x:f>IF(D13=0,"OK","Tjek")</x:f>
        <x:v>OK</x:v>
      </x:c>
    </x:row>
    <x:row r="14">
      <x:c r="A14" s="50" t="n">
        <x:v>45322</x:v>
      </x:c>
      <x:c r="B14" s="26" t="n">
        <x:f>SUM('Historisk_data'!$L$4:$L$24)</x:f>
        <x:v>12043</x:v>
      </x:c>
      <x:c r="C14" s="26" t="n">
        <x:f>'Historisk_data'!$L$25</x:f>
        <x:v>12043</x:v>
      </x:c>
      <x:c r="D14" s="26" t="n">
        <x:f>B14-C14</x:f>
        <x:v>0</x:v>
      </x:c>
      <x:c r="E14" t="str">
        <x:f>IF(D14=0,"OK","Tjek")</x:f>
        <x:v>OK</x:v>
      </x:c>
    </x:row>
    <x:row r="15">
      <x:c r="A15" s="50" t="n">
        <x:v>45382</x:v>
      </x:c>
      <x:c r="B15" s="26" t="n">
        <x:f>SUM('Historisk_data'!$M$4:$M$24)</x:f>
        <x:v>12039</x:v>
      </x:c>
      <x:c r="C15" s="26" t="n">
        <x:f>'Historisk_data'!$M$25</x:f>
        <x:v>12039</x:v>
      </x:c>
      <x:c r="D15" s="26" t="n">
        <x:f>B15-C15</x:f>
        <x:v>0</x:v>
      </x:c>
      <x:c r="E15" t="str">
        <x:f>IF(D15=0,"OK","Tjek")</x:f>
        <x:v>OK</x:v>
      </x:c>
    </x:row>
    <x:row r="16">
      <x:c r="A16" s="50" t="n">
        <x:v>45473</x:v>
      </x:c>
      <x:c r="B16" s="26" t="n">
        <x:f>SUM('Historisk_data'!$N$4:$N$24)</x:f>
        <x:v>12065</x:v>
      </x:c>
      <x:c r="C16" s="26" t="n">
        <x:f>'Historisk_data'!$N$25</x:f>
        <x:v>12065</x:v>
      </x:c>
      <x:c r="D16" s="26" t="n">
        <x:f>B16-C16</x:f>
        <x:v>0</x:v>
      </x:c>
      <x:c r="E16" t="str">
        <x:f>IF(D16=0,"OK","Tjek")</x:f>
        <x:v>OK</x:v>
      </x:c>
    </x:row>
    <x:row r="17">
      <x:c r="A17" s="50" t="n">
        <x:v>45565</x:v>
      </x:c>
      <x:c r="B17" s="26" t="n">
        <x:f>SUM('Historisk_data'!$O$4:$O$24)</x:f>
        <x:v>12505</x:v>
      </x:c>
      <x:c r="C17" s="26" t="n">
        <x:f>'Historisk_data'!$O$25</x:f>
        <x:v>12505</x:v>
      </x:c>
      <x:c r="D17" s="26" t="n">
        <x:f>B17-C17</x:f>
        <x:v>0</x:v>
      </x:c>
      <x:c r="E17" t="str">
        <x:f>IF(D17=0,"OK","Tjek")</x:f>
        <x:v>OK</x:v>
      </x:c>
    </x:row>
    <x:row r="18">
      <x:c r="A18" s="50" t="n">
        <x:v>45657</x:v>
      </x:c>
      <x:c r="B18" s="26" t="n">
        <x:f>SUM('Historisk_data'!$P$4:$P$24)</x:f>
        <x:v>12634</x:v>
      </x:c>
      <x:c r="C18" s="26" t="n">
        <x:f>'Historisk_data'!$P$25</x:f>
        <x:v>12634</x:v>
      </x:c>
      <x:c r="D18" s="26" t="n">
        <x:f>B18-C18</x:f>
        <x:v>0</x:v>
      </x:c>
      <x:c r="E18" t="str">
        <x:f>IF(D18=0,"OK","Tjek")</x:f>
        <x:v>OK</x:v>
      </x:c>
    </x:row>
    <x:row r="19">
      <x:c r="A19" s="50" t="n">
        <x:v>45688</x:v>
      </x:c>
      <x:c r="B19" s="26" t="n">
        <x:f>SUM('Historisk_data'!$Q$4:$Q$24)</x:f>
        <x:v>12618</x:v>
      </x:c>
      <x:c r="C19" s="26" t="n">
        <x:f>'Historisk_data'!$Q$25</x:f>
        <x:v>12618</x:v>
      </x:c>
      <x:c r="D19" s="26" t="n">
        <x:f>B19-C19</x:f>
        <x:v>0</x:v>
      </x:c>
      <x:c r="E19" t="str">
        <x:f>IF(D19=0,"OK","Tjek")</x:f>
        <x:v>OK</x:v>
      </x:c>
    </x:row>
    <x:row r="20">
      <x:c r="A20" s="50" t="n">
        <x:v>45747</x:v>
      </x:c>
      <x:c r="B20" s="26" t="n">
        <x:f>SUM('Historisk_data'!$R$4:$R$24)</x:f>
        <x:v>12678</x:v>
      </x:c>
      <x:c r="C20" s="26" t="n">
        <x:f>'Historisk_data'!$R$25</x:f>
        <x:v>12678</x:v>
      </x:c>
      <x:c r="D20" s="26" t="n">
        <x:f>B20-C20</x:f>
        <x:v>0</x:v>
      </x:c>
      <x:c r="E20" t="str">
        <x:f>IF(D20=0,"OK","Tjek")</x:f>
        <x:v>OK</x:v>
      </x:c>
    </x:row>
    <x:row r="21">
      <x:c r="A21" s="50" t="n">
        <x:v>45838</x:v>
      </x:c>
      <x:c r="B21" s="26" t="n">
        <x:f>SUM('Historisk_data'!$S$4:$S$24)</x:f>
        <x:v>12706</x:v>
      </x:c>
      <x:c r="C21" s="26" t="n">
        <x:f>'Historisk_data'!$S$25</x:f>
        <x:v>12706</x:v>
      </x:c>
      <x:c r="D21" s="26" t="n">
        <x:f>B21-C21</x:f>
        <x:v>0</x:v>
      </x:c>
      <x:c r="E21" t="str">
        <x:f>IF(D21=0,"OK","Tjek")</x:f>
        <x:v>OK</x:v>
      </x:c>
    </x:row>
    <x:row r="22">
      <x:c r="A22" s="50" t="n">
        <x:v>45930</x:v>
      </x:c>
      <x:c r="B22" s="26" t="n">
        <x:f>SUM('Historisk_data'!$T$4:$T$24)</x:f>
        <x:v>13090</x:v>
      </x:c>
      <x:c r="C22" s="26" t="n">
        <x:f>'Historisk_data'!$T$25</x:f>
        <x:v>13090</x:v>
      </x:c>
      <x:c r="D22" s="26" t="n">
        <x:f>B22-C22</x:f>
        <x:v>0</x:v>
      </x:c>
      <x:c r="E22" t="str">
        <x:f>IF(D22=0,"OK","Tjek")</x:f>
        <x:v>OK</x:v>
      </x:c>
    </x:row>
    <x:row r="23">
      <x:c r="A23" s="50" t="n">
        <x:v>46022</x:v>
      </x:c>
      <x:c r="B23" s="26" t="n">
        <x:f>SUM('Historisk_data'!$U$4:$U$24)</x:f>
        <x:v>13248</x:v>
      </x:c>
      <x:c r="C23" s="26" t="n">
        <x:f>'Historisk_data'!$U$25</x:f>
        <x:v>13248</x:v>
      </x:c>
      <x:c r="D23" s="26" t="n">
        <x:f>B23-C23</x:f>
        <x:v>0</x:v>
      </x:c>
      <x:c r="E23" t="str">
        <x:f>IF(D23=0,"OK","Tjek")</x:f>
        <x:v>OK</x:v>
      </x:c>
    </x:row>
    <x:row r="24">
      <x:c r="A24" s="50" t="n">
        <x:v>46053</x:v>
      </x:c>
      <x:c r="B24" s="26" t="n">
        <x:f>SUM('Historisk_data'!$V$4:$V$24)</x:f>
        <x:v>13205</x:v>
      </x:c>
      <x:c r="C24" s="26" t="n">
        <x:f>'Historisk_data'!$V$25</x:f>
        <x:v>13205</x:v>
      </x:c>
      <x:c r="D24" s="26" t="n">
        <x:f>B24-C24</x:f>
        <x:v>0</x:v>
      </x:c>
      <x:c r="E24" t="str">
        <x:f>IF(D24=0,"OK","Tjek")</x:f>
        <x:v>OK</x:v>
      </x:c>
    </x:row>
    <x:row r="25">
      <x:c r="A25" s="50" t="n">
        <x:v>46112</x:v>
      </x:c>
      <x:c r="B25" s="26" t="n">
        <x:f>SUM('Historisk_data'!$W$4:$W$24)</x:f>
        <x:v>13212</x:v>
      </x:c>
      <x:c r="C25" s="26" t="n">
        <x:f>'Historisk_data'!$W$25</x:f>
        <x:v>13212</x:v>
      </x:c>
      <x:c r="D25" s="26" t="n">
        <x:f>B25-C25</x:f>
        <x:v>0</x:v>
      </x:c>
      <x:c r="E25" t="str">
        <x:f>IF(D25=0,"OK","Tjek")</x:f>
        <x:v>OK</x:v>
      </x:c>
    </x:row>
    <x:row r="26">
      <x:c r="A26" s="50" t="n">
        <x:v>46173</x:v>
      </x:c>
      <x:c r="B26" s="26" t="n">
        <x:f>SUM('Historisk_data'!$X$4:$X$24)</x:f>
        <x:v>13233</x:v>
      </x:c>
      <x:c r="C26" s="26" t="n">
        <x:f>'Historisk_data'!$X$25</x:f>
        <x:v>13233</x:v>
      </x:c>
      <x:c r="D26" s="26" t="n">
        <x:f>B26-C26</x:f>
        <x:v>0</x:v>
      </x:c>
      <x:c r="E26" t="str">
        <x:f>IF(D26=0,"OK","Tjek")</x:f>
        <x:v>OK</x:v>
      </x:c>
    </x:row>
  </x:sheetData>
  <x:mergeCells>
    <x:mergeCell ref="A1:E1"/>
  </x:mergeCells>
  <x:conditionalFormatting sqref="D4:D26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31968b3da045b3"/>
  </x:tableParts>
</x:worksheet>
</file>